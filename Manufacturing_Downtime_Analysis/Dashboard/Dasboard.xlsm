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pivotCache/pivotCacheDefinition21.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C:\Users\User\Desktop\Dashboard-20250501T150418Z-001\Dashboard\"/>
    </mc:Choice>
  </mc:AlternateContent>
  <xr:revisionPtr revIDLastSave="0" documentId="13_ncr:1_{452D8B00-83E6-4724-8DFA-D7FB54481CC7}" xr6:coauthVersionLast="47" xr6:coauthVersionMax="47" xr10:uidLastSave="{00000000-0000-0000-0000-000000000000}"/>
  <bookViews>
    <workbookView xWindow="-110" yWindow="-110" windowWidth="38620" windowHeight="21100" xr2:uid="{7436A43B-EBF0-4200-A022-B56C9C03A352}"/>
  </bookViews>
  <sheets>
    <sheet name="Dashboard" sheetId="3" r:id="rId1"/>
    <sheet name="Analysis" sheetId="2" r:id="rId2"/>
  </sheets>
  <definedNames>
    <definedName name="_xlnm._FilterDatabase" localSheetId="1" hidden="1">Analysis!#REF!</definedName>
    <definedName name="Slicer_Month">#N/A</definedName>
    <definedName name="Slicer_Operator">#N/A</definedName>
    <definedName name="Slicer_Operator_Error">#N/A</definedName>
    <definedName name="Slicer_Year">#N/A</definedName>
  </definedNames>
  <calcPr calcId="191029"/>
  <pivotCaches>
    <pivotCache cacheId="0" r:id="rId3"/>
    <pivotCache cacheId="746" r:id="rId4"/>
    <pivotCache cacheId="749" r:id="rId5"/>
    <pivotCache cacheId="764" r:id="rId6"/>
    <pivotCache cacheId="797" r:id="rId7"/>
    <pivotCache cacheId="799" r:id="rId8"/>
    <pivotCache cacheId="801" r:id="rId9"/>
    <pivotCache cacheId="803" r:id="rId10"/>
    <pivotCache cacheId="805" r:id="rId11"/>
    <pivotCache cacheId="807" r:id="rId12"/>
    <pivotCache cacheId="809" r:id="rId13"/>
    <pivotCache cacheId="811" r:id="rId14"/>
    <pivotCache cacheId="813" r:id="rId15"/>
    <pivotCache cacheId="815" r:id="rId16"/>
    <pivotCache cacheId="817" r:id="rId17"/>
    <pivotCache cacheId="819" r:id="rId18"/>
    <pivotCache cacheId="821" r:id="rId19"/>
    <pivotCache cacheId="823" r:id="rId20"/>
    <pivotCache cacheId="825" r:id="rId21"/>
    <pivotCache cacheId="827" r:id="rId22"/>
  </pivotCaches>
  <extLst>
    <ext xmlns:x14="http://schemas.microsoft.com/office/spreadsheetml/2009/9/main" uri="{876F7934-8845-4945-9796-88D515C7AA90}">
      <x14:pivotCaches>
        <pivotCache cacheId="20" r:id="rId23"/>
      </x14:pivotCaches>
    </ext>
    <ext xmlns:x14="http://schemas.microsoft.com/office/spreadsheetml/2009/9/main" uri="{BBE1A952-AA13-448e-AADC-164F8A28A991}">
      <x14:slicerCaches>
        <x14:slicerCache r:id="rId24"/>
        <x14:slicerCache r:id="rId25"/>
        <x14:slicerCache r:id="rId26"/>
        <x14:slicerCache r:id="rId27"/>
      </x14:slicerCaches>
    </ext>
    <ext xmlns:x14="http://schemas.microsoft.com/office/spreadsheetml/2009/9/main" uri="{79F54976-1DA5-4618-B147-4CDE4B953A38}">
      <x14:workbookPr/>
    </ext>
    <ext xmlns:x15="http://schemas.microsoft.com/office/spreadsheetml/2010/11/main" uri="{FCE2AD5D-F65C-4FA6-A056-5C36A1767C68}">
      <x15:dataModel>
        <x15:modelTables>
          <x15:modelTable id="Product_6e99bf98-9fb3-4295-b386-c4e80d9b322f" name="Product" connection="Query - Product"/>
          <x15:modelTable id="Downtime_Factors_b679ae58-0f5a-42cb-aa75-4661a7614848" name="Downtime_Factors" connection="Query - Downtime_Factors"/>
          <x15:modelTable id="Line_Downtime_26f97f95-96fc-4e5f-87f9-4222b9e04c05" name="Line_Downtime" connection="Query - Line_Downtime"/>
          <x15:modelTable id="Line_Productivity_0d84cd39-a808-41dd-9897-f0d3a1e2254e" name="Line_Productivity" connection="Query - Line_Productivity"/>
        </x15:modelTables>
        <x15:modelRelationships>
          <x15:modelRelationship fromTable="Line_Downtime" fromColumn="Factor" toTable="Downtime_Factors" toColumn="Factor"/>
          <x15:modelRelationship fromTable="Line_Downtime" fromColumn="Batch" toTable="Line_Productivity" toColumn="Batch"/>
          <x15:modelRelationship fromTable="Line_Productivity" fromColumn="Product" toTable="Product" toColumn="Product"/>
        </x15:modelRelationships>
        <x15:extLst>
          <ext xmlns:x16="http://schemas.microsoft.com/office/spreadsheetml/2014/11/main" uri="{9835A34E-60A6-4A7C-AAB8-D5F71C897F49}">
            <x16:modelTimeGroupings>
              <x16:modelTimeGrouping tableName="Line_Productivity" columnName="Date" columnId="Date">
                <x16:calculatedTimeColumn columnName="Date (Month Index)" columnId="Date (Month Index)" contentType="monthsindex" isSelected="1"/>
                <x16:calculatedTimeColumn columnName="Date (Month)" columnId="Date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Z22" i="2" l="1"/>
  <c r="Z21" i="2"/>
  <c r="G22" i="2"/>
  <c r="G23" i="2"/>
  <c r="G24" i="2"/>
  <c r="G25" i="2"/>
  <c r="G26" i="2"/>
  <c r="G27" i="2"/>
  <c r="G28" i="2"/>
  <c r="G29" i="2"/>
  <c r="G30" i="2"/>
  <c r="G31" i="2"/>
  <c r="G32" i="2"/>
  <c r="I31" i="2"/>
  <c r="I30" i="2"/>
  <c r="I29" i="2"/>
  <c r="I28" i="2"/>
  <c r="I27" i="2"/>
  <c r="I26" i="2"/>
  <c r="I25" i="2"/>
  <c r="I24" i="2"/>
  <c r="I23" i="2"/>
  <c r="I22" i="2"/>
  <c r="H31" i="2"/>
  <c r="H30" i="2"/>
  <c r="H29" i="2"/>
  <c r="H28" i="2"/>
  <c r="H27" i="2"/>
  <c r="H26" i="2"/>
  <c r="H25" i="2"/>
  <c r="H24" i="2"/>
  <c r="H23" i="2"/>
  <c r="H22" i="2"/>
  <c r="F32" i="2"/>
  <c r="F31" i="2"/>
  <c r="F29" i="2"/>
  <c r="F30" i="2"/>
  <c r="F22" i="2"/>
  <c r="F23" i="2"/>
  <c r="F24" i="2"/>
  <c r="F25" i="2"/>
  <c r="F26" i="2"/>
  <c r="F27" i="2"/>
  <c r="F28" i="2"/>
  <c r="H20" i="2"/>
  <c r="P33" i="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DE3D4B6-35D9-4B23-AD31-A421133AAD10}" name="Query - Downtime_Factors" description="Connection to the 'Downtime_Factors' query in the workbook." type="100" refreshedVersion="8" minRefreshableVersion="5">
    <extLst>
      <ext xmlns:x15="http://schemas.microsoft.com/office/spreadsheetml/2010/11/main" uri="{DE250136-89BD-433C-8126-D09CA5730AF9}">
        <x15:connection id="2dbe5f2d-ae21-4c47-8b5f-87ca498a91cb"/>
      </ext>
    </extLst>
  </connection>
  <connection id="2" xr16:uid="{7E22C8CD-E618-4355-85CE-55F949F93C73}" name="Query - Line_Downtime" description="Connection to the 'Line_Downtime' query in the workbook." type="100" refreshedVersion="8" minRefreshableVersion="5">
    <extLst>
      <ext xmlns:x15="http://schemas.microsoft.com/office/spreadsheetml/2010/11/main" uri="{DE250136-89BD-433C-8126-D09CA5730AF9}">
        <x15:connection id="0049e922-d615-4f64-b8fb-d2d2814e78be"/>
      </ext>
    </extLst>
  </connection>
  <connection id="3" xr16:uid="{10FA2D18-DB5B-4448-95B7-38AF0727FAD4}" name="Query - Line_Productivity" description="Connection to the 'Line_Productivity' query in the workbook." type="100" refreshedVersion="8" minRefreshableVersion="5">
    <extLst>
      <ext xmlns:x15="http://schemas.microsoft.com/office/spreadsheetml/2010/11/main" uri="{DE250136-89BD-433C-8126-D09CA5730AF9}">
        <x15:connection id="2bfe2899-39be-49ae-9643-50702b77f2c2"/>
      </ext>
    </extLst>
  </connection>
  <connection id="4" xr16:uid="{9B53B288-8168-41F2-B83E-AB2B6AC1503B}" name="Query - Product" description="Connection to the 'Product' query in the workbook." type="100" refreshedVersion="8" minRefreshableVersion="5">
    <extLst>
      <ext xmlns:x15="http://schemas.microsoft.com/office/spreadsheetml/2010/11/main" uri="{DE250136-89BD-433C-8126-D09CA5730AF9}">
        <x15:connection id="dcd4ea28-4a88-4375-913a-96d972bd11eb"/>
      </ext>
    </extLst>
  </connection>
  <connection id="5" xr16:uid="{BF92FD0E-EEF2-4452-8B40-FA7CDB35FE57}" keepAlive="1" name="Query - Source_data_connection" description="Connection to the 'Source_data_connection' query in the workbook." type="5" refreshedVersion="0" background="1">
    <dbPr connection="Provider=Microsoft.Mashup.OleDb.1;Data Source=$Workbook$;Location=Source_data_connection;Extended Properties=&quot;&quot;" command="SELECT * FROM [Source_data_connection]"/>
  </connection>
  <connection id="6" xr16:uid="{21196812-3FC0-4F51-B130-CA4936AB17AB}"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2">
    <s v="ThisWorkbookDataModel"/>
    <s v="{[Downtime_Factors].[Operator Error].[All]}"/>
  </metadataStrings>
  <mdxMetadata count="1">
    <mdx n="0" f="s">
      <ms ns="1" c="0"/>
    </mdx>
  </mdxMetadata>
  <valueMetadata count="1">
    <bk>
      <rc t="1" v="0"/>
    </bk>
  </valueMetadata>
</metadata>
</file>

<file path=xl/sharedStrings.xml><?xml version="1.0" encoding="utf-8"?>
<sst xmlns="http://schemas.openxmlformats.org/spreadsheetml/2006/main" count="220" uniqueCount="84">
  <si>
    <t>Grand Total</t>
  </si>
  <si>
    <t>Total Worked Hours</t>
  </si>
  <si>
    <t>Line Eff %</t>
  </si>
  <si>
    <t>Total Downtime</t>
  </si>
  <si>
    <t>Line ineff %</t>
  </si>
  <si>
    <t>Description</t>
  </si>
  <si>
    <t xml:space="preserve"> Downtime</t>
  </si>
  <si>
    <t>Total Error</t>
  </si>
  <si>
    <t>Total Standard Time</t>
  </si>
  <si>
    <t>Standard Time</t>
  </si>
  <si>
    <t>Product</t>
  </si>
  <si>
    <t>CO-2L</t>
  </si>
  <si>
    <t>LE-600</t>
  </si>
  <si>
    <t>Values</t>
  </si>
  <si>
    <t>Operator</t>
  </si>
  <si>
    <t>Charlie</t>
  </si>
  <si>
    <t>Total Downtime2</t>
  </si>
  <si>
    <t>Operator Error</t>
  </si>
  <si>
    <t>AVE BATCH DOWNTIME</t>
  </si>
  <si>
    <t>Count of Batch</t>
  </si>
  <si>
    <t>Date</t>
  </si>
  <si>
    <t>Count of Factor</t>
  </si>
  <si>
    <t>Count of Factor2</t>
  </si>
  <si>
    <t>OR-600</t>
  </si>
  <si>
    <t>DC-600</t>
  </si>
  <si>
    <t>Dennis</t>
  </si>
  <si>
    <t>Mac</t>
  </si>
  <si>
    <t>Dee</t>
  </si>
  <si>
    <t>Label Switch</t>
  </si>
  <si>
    <t>Calibration Error</t>
  </si>
  <si>
    <t>Product Spill</t>
  </si>
  <si>
    <t>Batch Coding Error</t>
  </si>
  <si>
    <t>Batch Change</t>
  </si>
  <si>
    <t>Machine Adjustment</t>
  </si>
  <si>
    <t>Yes</t>
  </si>
  <si>
    <t>Conveyor Belt Jam</t>
  </si>
  <si>
    <t>Labeling Error</t>
  </si>
  <si>
    <t>Other</t>
  </si>
  <si>
    <t>Inventory Shortage</t>
  </si>
  <si>
    <t>Machine Failure</t>
  </si>
  <si>
    <t>No</t>
  </si>
  <si>
    <t>All</t>
  </si>
  <si>
    <t>Emergency Stop</t>
  </si>
  <si>
    <t>Downtime</t>
  </si>
  <si>
    <t>Batch</t>
  </si>
  <si>
    <t>422112</t>
  </si>
  <si>
    <t>422134</t>
  </si>
  <si>
    <t>422148</t>
  </si>
  <si>
    <t>422114</t>
  </si>
  <si>
    <t>422135</t>
  </si>
  <si>
    <t>422111</t>
  </si>
  <si>
    <t>422113</t>
  </si>
  <si>
    <t>Count of Downtime</t>
  </si>
  <si>
    <t xml:space="preserve"> Std.Time</t>
  </si>
  <si>
    <t>CO-600</t>
  </si>
  <si>
    <t>422147</t>
  </si>
  <si>
    <t>422146</t>
  </si>
  <si>
    <t>422145</t>
  </si>
  <si>
    <t>422126</t>
  </si>
  <si>
    <t>422127</t>
  </si>
  <si>
    <t>422128</t>
  </si>
  <si>
    <t>422125</t>
  </si>
  <si>
    <t>422129</t>
  </si>
  <si>
    <t>422117</t>
  </si>
  <si>
    <t>422115</t>
  </si>
  <si>
    <t>RB-600</t>
  </si>
  <si>
    <t>422144</t>
  </si>
  <si>
    <t>422124</t>
  </si>
  <si>
    <t>422123</t>
  </si>
  <si>
    <t>422121</t>
  </si>
  <si>
    <t>422122</t>
  </si>
  <si>
    <t>422142</t>
  </si>
  <si>
    <t>422143</t>
  </si>
  <si>
    <t>422141</t>
  </si>
  <si>
    <t>422118</t>
  </si>
  <si>
    <t>422131</t>
  </si>
  <si>
    <t>422120</t>
  </si>
  <si>
    <t>422119</t>
  </si>
  <si>
    <t>422130</t>
  </si>
  <si>
    <t>422133</t>
  </si>
  <si>
    <t>422137</t>
  </si>
  <si>
    <t>422139</t>
  </si>
  <si>
    <t>422140</t>
  </si>
  <si>
    <t>422138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</si>
</sst>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409]mmmm\ d\,\ yyyy;@"/>
    <numFmt numFmtId="165" formatCode="[$-F800]dddd\,\ mmmm\ dd\,\ yyyy"/>
  </numFmts>
  <fonts count="2" x14ac:knownFonts="1">
    <font>
      <sz val="11"/>
      <color theme="1"/>
      <name val="Calibri"/>
      <family val="2"/>
      <scheme val="minor"/>
    </font>
    <font>
      <b/>
      <sz val="11"/>
      <color theme="1"/>
      <name val="Calibri"/>
      <family val="2"/>
      <scheme val="minor"/>
    </font>
  </fonts>
  <fills count="2">
    <fill>
      <patternFill patternType="none"/>
    </fill>
    <fill>
      <patternFill patternType="gray125"/>
    </fill>
  </fills>
  <borders count="2">
    <border>
      <left/>
      <right/>
      <top/>
      <bottom/>
      <diagonal/>
    </border>
    <border>
      <left style="thin">
        <color indexed="64"/>
      </left>
      <right/>
      <top/>
      <bottom/>
      <diagonal/>
    </border>
  </borders>
  <cellStyleXfs count="1">
    <xf numFmtId="0" fontId="0" fillId="0" borderId="0"/>
  </cellStyleXfs>
  <cellXfs count="19">
    <xf numFmtId="0" fontId="0" fillId="0" borderId="0" xfId="0"/>
    <xf numFmtId="46" fontId="0" fillId="0" borderId="0" xfId="0" applyNumberFormat="1"/>
    <xf numFmtId="0" fontId="0" fillId="0" borderId="1" xfId="0" applyBorder="1"/>
    <xf numFmtId="9" fontId="0" fillId="0" borderId="0" xfId="0" applyNumberFormat="1"/>
    <xf numFmtId="1" fontId="0" fillId="0" borderId="0" xfId="0" applyNumberFormat="1"/>
    <xf numFmtId="0" fontId="1" fillId="0" borderId="0" xfId="0" applyFont="1" applyAlignment="1">
      <alignment horizontal="left"/>
    </xf>
    <xf numFmtId="46" fontId="0" fillId="0" borderId="0" xfId="0" applyNumberFormat="1" applyAlignment="1">
      <alignment horizontal="center"/>
    </xf>
    <xf numFmtId="1" fontId="0" fillId="0" borderId="0" xfId="0" pivotButton="1" applyNumberFormat="1"/>
    <xf numFmtId="10" fontId="0" fillId="0" borderId="0" xfId="0" applyNumberFormat="1"/>
    <xf numFmtId="0" fontId="0" fillId="0" borderId="0" xfId="0" pivotButton="1"/>
    <xf numFmtId="1" fontId="1" fillId="0" borderId="0" xfId="0" applyNumberFormat="1" applyFont="1" applyAlignment="1">
      <alignment horizontal="left"/>
    </xf>
    <xf numFmtId="2" fontId="0" fillId="0" borderId="0" xfId="0" applyNumberFormat="1"/>
    <xf numFmtId="164" fontId="0" fillId="0" borderId="0" xfId="0" applyNumberFormat="1"/>
    <xf numFmtId="164" fontId="0" fillId="0" borderId="0" xfId="0" pivotButton="1" applyNumberFormat="1"/>
    <xf numFmtId="165" fontId="0" fillId="0" borderId="0" xfId="0" applyNumberFormat="1"/>
    <xf numFmtId="46" fontId="0" fillId="0" borderId="0" xfId="0" applyNumberFormat="1" applyAlignment="1">
      <alignment horizontal="right"/>
    </xf>
    <xf numFmtId="0" fontId="0" fillId="0" borderId="0" xfId="0" applyAlignment="1">
      <alignment horizontal="right"/>
    </xf>
    <xf numFmtId="0" fontId="0" fillId="0" borderId="0" xfId="0" applyNumberFormat="1"/>
    <xf numFmtId="0" fontId="1" fillId="0" borderId="0" xfId="0" applyNumberFormat="1" applyFont="1" applyAlignment="1">
      <alignment horizontal="left"/>
    </xf>
  </cellXfs>
  <cellStyles count="1">
    <cellStyle name="Normal" xfId="0" builtinId="0"/>
  </cellStyles>
  <dxfs count="572">
    <dxf>
      <numFmt numFmtId="0" formatCode="General"/>
    </dxf>
    <dxf>
      <numFmt numFmtId="0" formatCode="General"/>
    </dxf>
    <dxf>
      <alignment horizontal="left"/>
    </dxf>
    <dxf>
      <font>
        <b/>
      </font>
    </dxf>
    <dxf>
      <numFmt numFmtId="31" formatCode="[h]:mm:ss"/>
    </dxf>
    <dxf>
      <numFmt numFmtId="1" formatCode="0"/>
    </dxf>
    <dxf>
      <numFmt numFmtId="31" formatCode="[h]:mm:ss"/>
    </dxf>
    <dxf>
      <numFmt numFmtId="31" formatCode="[h]:mm:ss"/>
    </dxf>
    <dxf>
      <numFmt numFmtId="1" formatCode="0"/>
    </dxf>
    <dxf>
      <numFmt numFmtId="31" formatCode="[h]:mm:ss"/>
    </dxf>
    <dxf>
      <numFmt numFmtId="31" formatCode="[h]:mm:ss"/>
    </dxf>
    <dxf>
      <numFmt numFmtId="1" formatCode="0"/>
    </dxf>
    <dxf>
      <numFmt numFmtId="164" formatCode="[$-409]mmmm\ d\,\ yyyy;@"/>
    </dxf>
    <dxf>
      <numFmt numFmtId="164" formatCode="[$-409]mmmm\ d\,\ yyyy;@"/>
    </dxf>
    <dxf>
      <numFmt numFmtId="164" formatCode="[$-409]mmmm\ d\,\ yyyy;@"/>
    </dxf>
    <dxf>
      <numFmt numFmtId="1" formatCode="0"/>
    </dxf>
    <dxf>
      <numFmt numFmtId="1" formatCode="0"/>
    </dxf>
    <dxf>
      <numFmt numFmtId="1" formatCode="0"/>
    </dxf>
    <dxf>
      <numFmt numFmtId="31" formatCode="[h]:mm:ss"/>
    </dxf>
    <dxf>
      <numFmt numFmtId="31" formatCode="[h]:mm:ss"/>
    </dxf>
    <dxf>
      <numFmt numFmtId="164" formatCode="[$-409]mmmm\ d\,\ yyyy;@"/>
    </dxf>
    <dxf>
      <numFmt numFmtId="164" formatCode="[$-409]mmmm\ d\,\ yyyy;@"/>
    </dxf>
    <dxf>
      <numFmt numFmtId="164" formatCode="[$-409]mmmm\ d\,\ yyyy;@"/>
    </dxf>
    <dxf>
      <numFmt numFmtId="1" formatCode="0"/>
    </dxf>
    <dxf>
      <numFmt numFmtId="31" formatCode="[h]:mm:ss"/>
    </dxf>
    <dxf>
      <numFmt numFmtId="31" formatCode="[h]:mm:ss"/>
    </dxf>
    <dxf>
      <numFmt numFmtId="1" formatCode="0"/>
    </dxf>
    <dxf>
      <numFmt numFmtId="31" formatCode="[h]:mm:ss"/>
    </dxf>
    <dxf>
      <numFmt numFmtId="1" formatCode="0"/>
    </dxf>
    <dxf>
      <numFmt numFmtId="0" formatCode="General"/>
    </dxf>
    <dxf>
      <numFmt numFmtId="13" formatCode="0%"/>
    </dxf>
    <dxf>
      <alignment horizontal="left"/>
    </dxf>
    <dxf>
      <font>
        <b/>
      </font>
    </dxf>
    <dxf>
      <numFmt numFmtId="0" formatCode="General"/>
    </dxf>
    <dxf>
      <numFmt numFmtId="13" formatCode="0%"/>
    </dxf>
    <dxf>
      <font>
        <b/>
      </font>
    </dxf>
    <dxf>
      <alignment horizontal="left"/>
    </dxf>
    <dxf>
      <numFmt numFmtId="0" formatCode="General"/>
    </dxf>
    <dxf>
      <numFmt numFmtId="31" formatCode="[h]:mm:ss"/>
    </dxf>
    <dxf>
      <alignment horizontal="left"/>
    </dxf>
    <dxf>
      <font>
        <b/>
      </font>
    </dxf>
    <dxf>
      <numFmt numFmtId="0" formatCode="General"/>
    </dxf>
    <dxf>
      <numFmt numFmtId="31" formatCode="[h]:mm:ss"/>
    </dxf>
    <dxf>
      <alignment horizontal="left"/>
    </dxf>
    <dxf>
      <font>
        <b/>
      </font>
    </dxf>
    <dxf>
      <numFmt numFmtId="0" formatCode="General"/>
    </dxf>
    <dxf>
      <numFmt numFmtId="31" formatCode="[h]:mm:ss"/>
    </dxf>
    <dxf>
      <alignment horizontal="left"/>
    </dxf>
    <dxf>
      <font>
        <b/>
      </font>
    </dxf>
    <dxf>
      <numFmt numFmtId="1" formatCode="0"/>
    </dxf>
    <dxf>
      <numFmt numFmtId="31" formatCode="[h]:mm:ss"/>
    </dxf>
    <dxf>
      <numFmt numFmtId="31" formatCode="[h]:mm:ss"/>
    </dxf>
    <dxf>
      <numFmt numFmtId="1" formatCode="0"/>
    </dxf>
    <dxf>
      <numFmt numFmtId="31" formatCode="[h]:mm:ss"/>
    </dxf>
    <dxf>
      <numFmt numFmtId="31" formatCode="[h]:mm:ss"/>
    </dxf>
    <dxf>
      <numFmt numFmtId="1" formatCode="0"/>
    </dxf>
    <dxf>
      <numFmt numFmtId="31" formatCode="[h]:mm:ss"/>
    </dxf>
    <dxf>
      <numFmt numFmtId="31" formatCode="[h]:mm:ss"/>
    </dxf>
    <dxf>
      <numFmt numFmtId="14" formatCode="0.00%"/>
    </dxf>
    <dxf>
      <numFmt numFmtId="1" formatCode="0"/>
    </dxf>
    <dxf>
      <numFmt numFmtId="31" formatCode="[h]:mm:ss"/>
    </dxf>
    <dxf>
      <numFmt numFmtId="31" formatCode="[h]:mm:ss"/>
    </dxf>
    <dxf>
      <numFmt numFmtId="1" formatCode="0"/>
    </dxf>
    <dxf>
      <numFmt numFmtId="31" formatCode="[h]:mm:ss"/>
    </dxf>
    <dxf>
      <numFmt numFmtId="31" formatCode="[h]:mm:ss"/>
    </dxf>
    <dxf>
      <numFmt numFmtId="0" formatCode="General"/>
    </dxf>
    <dxf>
      <numFmt numFmtId="0" formatCode="General"/>
    </dxf>
    <dxf>
      <alignment horizontal="left"/>
    </dxf>
    <dxf>
      <font>
        <b/>
      </font>
    </dxf>
    <dxf>
      <numFmt numFmtId="31" formatCode="[h]:mm:ss"/>
    </dxf>
    <dxf>
      <numFmt numFmtId="31" formatCode="[h]:mm:ss"/>
    </dxf>
    <dxf>
      <numFmt numFmtId="0" formatCode="General"/>
    </dxf>
    <dxf>
      <numFmt numFmtId="0" formatCode="General"/>
    </dxf>
    <dxf>
      <alignment horizontal="left"/>
    </dxf>
    <dxf>
      <font>
        <b/>
      </font>
    </dxf>
    <dxf>
      <numFmt numFmtId="31" formatCode="[h]:mm:ss"/>
    </dxf>
    <dxf>
      <numFmt numFmtId="1" formatCode="0"/>
    </dxf>
    <dxf>
      <numFmt numFmtId="31" formatCode="[h]:mm:ss"/>
    </dxf>
    <dxf>
      <numFmt numFmtId="31" formatCode="[h]:mm:ss"/>
    </dxf>
    <dxf>
      <numFmt numFmtId="1" formatCode="0"/>
    </dxf>
    <dxf>
      <numFmt numFmtId="31" formatCode="[h]:mm:ss"/>
    </dxf>
    <dxf>
      <numFmt numFmtId="31" formatCode="[h]:mm:ss"/>
    </dxf>
    <dxf>
      <numFmt numFmtId="1" formatCode="0"/>
    </dxf>
    <dxf>
      <numFmt numFmtId="164" formatCode="[$-409]mmmm\ d\,\ yyyy;@"/>
    </dxf>
    <dxf>
      <numFmt numFmtId="164" formatCode="[$-409]mmmm\ d\,\ yyyy;@"/>
    </dxf>
    <dxf>
      <numFmt numFmtId="164" formatCode="[$-409]mmmm\ d\,\ yyyy;@"/>
    </dxf>
    <dxf>
      <numFmt numFmtId="1" formatCode="0"/>
    </dxf>
    <dxf>
      <numFmt numFmtId="1" formatCode="0"/>
    </dxf>
    <dxf>
      <numFmt numFmtId="1" formatCode="0"/>
    </dxf>
    <dxf>
      <numFmt numFmtId="31" formatCode="[h]:mm:ss"/>
    </dxf>
    <dxf>
      <numFmt numFmtId="31" formatCode="[h]:mm:ss"/>
    </dxf>
    <dxf>
      <numFmt numFmtId="164" formatCode="[$-409]mmmm\ d\,\ yyyy;@"/>
    </dxf>
    <dxf>
      <numFmt numFmtId="164" formatCode="[$-409]mmmm\ d\,\ yyyy;@"/>
    </dxf>
    <dxf>
      <numFmt numFmtId="164" formatCode="[$-409]mmmm\ d\,\ yyyy;@"/>
    </dxf>
    <dxf>
      <numFmt numFmtId="1" formatCode="0"/>
    </dxf>
    <dxf>
      <numFmt numFmtId="31" formatCode="[h]:mm:ss"/>
    </dxf>
    <dxf>
      <numFmt numFmtId="31" formatCode="[h]:mm:ss"/>
    </dxf>
    <dxf>
      <numFmt numFmtId="1" formatCode="0"/>
    </dxf>
    <dxf>
      <numFmt numFmtId="31" formatCode="[h]:mm:ss"/>
    </dxf>
    <dxf>
      <numFmt numFmtId="1" formatCode="0"/>
    </dxf>
    <dxf>
      <numFmt numFmtId="0" formatCode="General"/>
    </dxf>
    <dxf>
      <numFmt numFmtId="13" formatCode="0%"/>
    </dxf>
    <dxf>
      <alignment horizontal="left"/>
    </dxf>
    <dxf>
      <font>
        <b/>
      </font>
    </dxf>
    <dxf>
      <numFmt numFmtId="0" formatCode="General"/>
    </dxf>
    <dxf>
      <numFmt numFmtId="13" formatCode="0%"/>
    </dxf>
    <dxf>
      <font>
        <b/>
      </font>
    </dxf>
    <dxf>
      <alignment horizontal="left"/>
    </dxf>
    <dxf>
      <numFmt numFmtId="0" formatCode="General"/>
    </dxf>
    <dxf>
      <numFmt numFmtId="31" formatCode="[h]:mm:ss"/>
    </dxf>
    <dxf>
      <alignment horizontal="left"/>
    </dxf>
    <dxf>
      <font>
        <b/>
      </font>
    </dxf>
    <dxf>
      <numFmt numFmtId="0" formatCode="General"/>
    </dxf>
    <dxf>
      <numFmt numFmtId="31" formatCode="[h]:mm:ss"/>
    </dxf>
    <dxf>
      <alignment horizontal="left"/>
    </dxf>
    <dxf>
      <font>
        <b/>
      </font>
    </dxf>
    <dxf>
      <numFmt numFmtId="0" formatCode="General"/>
    </dxf>
    <dxf>
      <numFmt numFmtId="31" formatCode="[h]:mm:ss"/>
    </dxf>
    <dxf>
      <alignment horizontal="left"/>
    </dxf>
    <dxf>
      <font>
        <b/>
      </font>
    </dxf>
    <dxf>
      <numFmt numFmtId="1" formatCode="0"/>
    </dxf>
    <dxf>
      <numFmt numFmtId="31" formatCode="[h]:mm:ss"/>
    </dxf>
    <dxf>
      <numFmt numFmtId="31" formatCode="[h]:mm:ss"/>
    </dxf>
    <dxf>
      <numFmt numFmtId="1" formatCode="0"/>
    </dxf>
    <dxf>
      <numFmt numFmtId="31" formatCode="[h]:mm:ss"/>
    </dxf>
    <dxf>
      <numFmt numFmtId="31" formatCode="[h]:mm:ss"/>
    </dxf>
    <dxf>
      <numFmt numFmtId="1" formatCode="0"/>
    </dxf>
    <dxf>
      <numFmt numFmtId="31" formatCode="[h]:mm:ss"/>
    </dxf>
    <dxf>
      <numFmt numFmtId="31" formatCode="[h]:mm:ss"/>
    </dxf>
    <dxf>
      <numFmt numFmtId="14" formatCode="0.00%"/>
    </dxf>
    <dxf>
      <numFmt numFmtId="1" formatCode="0"/>
    </dxf>
    <dxf>
      <numFmt numFmtId="31" formatCode="[h]:mm:ss"/>
    </dxf>
    <dxf>
      <numFmt numFmtId="31" formatCode="[h]:mm:ss"/>
    </dxf>
    <dxf>
      <numFmt numFmtId="1" formatCode="0"/>
    </dxf>
    <dxf>
      <numFmt numFmtId="31" formatCode="[h]:mm:ss"/>
    </dxf>
    <dxf>
      <numFmt numFmtId="31" formatCode="[h]:mm:ss"/>
    </dxf>
    <dxf>
      <numFmt numFmtId="0" formatCode="General"/>
    </dxf>
    <dxf>
      <numFmt numFmtId="0" formatCode="General"/>
    </dxf>
    <dxf>
      <alignment horizontal="left"/>
    </dxf>
    <dxf>
      <font>
        <b/>
      </font>
    </dxf>
    <dxf>
      <numFmt numFmtId="31" formatCode="[h]:mm:ss"/>
    </dxf>
    <dxf>
      <numFmt numFmtId="31" formatCode="[h]:mm:ss"/>
    </dxf>
    <dxf>
      <numFmt numFmtId="0" formatCode="General"/>
    </dxf>
    <dxf>
      <numFmt numFmtId="0" formatCode="General"/>
    </dxf>
    <dxf>
      <alignment horizontal="left"/>
    </dxf>
    <dxf>
      <font>
        <b/>
      </font>
    </dxf>
    <dxf>
      <numFmt numFmtId="31" formatCode="[h]:mm:ss"/>
    </dxf>
    <dxf>
      <numFmt numFmtId="1" formatCode="0"/>
    </dxf>
    <dxf>
      <numFmt numFmtId="31" formatCode="[h]:mm:ss"/>
    </dxf>
    <dxf>
      <numFmt numFmtId="31" formatCode="[h]:mm:ss"/>
    </dxf>
    <dxf>
      <numFmt numFmtId="1" formatCode="0"/>
    </dxf>
    <dxf>
      <numFmt numFmtId="31" formatCode="[h]:mm:ss"/>
    </dxf>
    <dxf>
      <numFmt numFmtId="31" formatCode="[h]:mm:ss"/>
    </dxf>
    <dxf>
      <numFmt numFmtId="1" formatCode="0"/>
    </dxf>
    <dxf>
      <numFmt numFmtId="164" formatCode="[$-409]mmmm\ d\,\ yyyy;@"/>
    </dxf>
    <dxf>
      <numFmt numFmtId="164" formatCode="[$-409]mmmm\ d\,\ yyyy;@"/>
    </dxf>
    <dxf>
      <numFmt numFmtId="164" formatCode="[$-409]mmmm\ d\,\ yyyy;@"/>
    </dxf>
    <dxf>
      <numFmt numFmtId="1" formatCode="0"/>
    </dxf>
    <dxf>
      <numFmt numFmtId="1" formatCode="0"/>
    </dxf>
    <dxf>
      <numFmt numFmtId="1" formatCode="0"/>
    </dxf>
    <dxf>
      <numFmt numFmtId="31" formatCode="[h]:mm:ss"/>
    </dxf>
    <dxf>
      <numFmt numFmtId="31" formatCode="[h]:mm:ss"/>
    </dxf>
    <dxf>
      <numFmt numFmtId="164" formatCode="[$-409]mmmm\ d\,\ yyyy;@"/>
    </dxf>
    <dxf>
      <numFmt numFmtId="164" formatCode="[$-409]mmmm\ d\,\ yyyy;@"/>
    </dxf>
    <dxf>
      <numFmt numFmtId="164" formatCode="[$-409]mmmm\ d\,\ yyyy;@"/>
    </dxf>
    <dxf>
      <numFmt numFmtId="1" formatCode="0"/>
    </dxf>
    <dxf>
      <numFmt numFmtId="31" formatCode="[h]:mm:ss"/>
    </dxf>
    <dxf>
      <numFmt numFmtId="31" formatCode="[h]:mm:ss"/>
    </dxf>
    <dxf>
      <numFmt numFmtId="1" formatCode="0"/>
    </dxf>
    <dxf>
      <numFmt numFmtId="31" formatCode="[h]:mm:ss"/>
    </dxf>
    <dxf>
      <numFmt numFmtId="1" formatCode="0"/>
    </dxf>
    <dxf>
      <numFmt numFmtId="0" formatCode="General"/>
    </dxf>
    <dxf>
      <numFmt numFmtId="13" formatCode="0%"/>
    </dxf>
    <dxf>
      <alignment horizontal="left"/>
    </dxf>
    <dxf>
      <font>
        <b/>
      </font>
    </dxf>
    <dxf>
      <numFmt numFmtId="0" formatCode="General"/>
    </dxf>
    <dxf>
      <numFmt numFmtId="13" formatCode="0%"/>
    </dxf>
    <dxf>
      <font>
        <b/>
      </font>
    </dxf>
    <dxf>
      <alignment horizontal="left"/>
    </dxf>
    <dxf>
      <numFmt numFmtId="0" formatCode="General"/>
    </dxf>
    <dxf>
      <numFmt numFmtId="31" formatCode="[h]:mm:ss"/>
    </dxf>
    <dxf>
      <alignment horizontal="left"/>
    </dxf>
    <dxf>
      <font>
        <b/>
      </font>
    </dxf>
    <dxf>
      <numFmt numFmtId="0" formatCode="General"/>
    </dxf>
    <dxf>
      <numFmt numFmtId="31" formatCode="[h]:mm:ss"/>
    </dxf>
    <dxf>
      <alignment horizontal="left"/>
    </dxf>
    <dxf>
      <font>
        <b/>
      </font>
    </dxf>
    <dxf>
      <numFmt numFmtId="0" formatCode="General"/>
    </dxf>
    <dxf>
      <numFmt numFmtId="31" formatCode="[h]:mm:ss"/>
    </dxf>
    <dxf>
      <alignment horizontal="left"/>
    </dxf>
    <dxf>
      <font>
        <b/>
      </font>
    </dxf>
    <dxf>
      <numFmt numFmtId="1" formatCode="0"/>
    </dxf>
    <dxf>
      <numFmt numFmtId="31" formatCode="[h]:mm:ss"/>
    </dxf>
    <dxf>
      <numFmt numFmtId="31" formatCode="[h]:mm:ss"/>
    </dxf>
    <dxf>
      <numFmt numFmtId="1" formatCode="0"/>
    </dxf>
    <dxf>
      <numFmt numFmtId="31" formatCode="[h]:mm:ss"/>
    </dxf>
    <dxf>
      <numFmt numFmtId="31" formatCode="[h]:mm:ss"/>
    </dxf>
    <dxf>
      <numFmt numFmtId="1" formatCode="0"/>
    </dxf>
    <dxf>
      <numFmt numFmtId="31" formatCode="[h]:mm:ss"/>
    </dxf>
    <dxf>
      <numFmt numFmtId="31" formatCode="[h]:mm:ss"/>
    </dxf>
    <dxf>
      <numFmt numFmtId="14" formatCode="0.00%"/>
    </dxf>
    <dxf>
      <numFmt numFmtId="1" formatCode="0"/>
    </dxf>
    <dxf>
      <numFmt numFmtId="31" formatCode="[h]:mm:ss"/>
    </dxf>
    <dxf>
      <numFmt numFmtId="31" formatCode="[h]:mm:ss"/>
    </dxf>
    <dxf>
      <numFmt numFmtId="1" formatCode="0"/>
    </dxf>
    <dxf>
      <numFmt numFmtId="31" formatCode="[h]:mm:ss"/>
    </dxf>
    <dxf>
      <numFmt numFmtId="31" formatCode="[h]:mm:ss"/>
    </dxf>
    <dxf>
      <numFmt numFmtId="0" formatCode="General"/>
    </dxf>
    <dxf>
      <numFmt numFmtId="0" formatCode="General"/>
    </dxf>
    <dxf>
      <alignment horizontal="left"/>
    </dxf>
    <dxf>
      <font>
        <b/>
      </font>
    </dxf>
    <dxf>
      <numFmt numFmtId="31" formatCode="[h]:mm:ss"/>
    </dxf>
    <dxf>
      <numFmt numFmtId="31" formatCode="[h]:mm:ss"/>
    </dxf>
    <dxf>
      <numFmt numFmtId="0" formatCode="General"/>
    </dxf>
    <dxf>
      <numFmt numFmtId="0" formatCode="General"/>
    </dxf>
    <dxf>
      <alignment horizontal="left"/>
    </dxf>
    <dxf>
      <font>
        <b/>
      </font>
    </dxf>
    <dxf>
      <numFmt numFmtId="31" formatCode="[h]:mm:ss"/>
    </dxf>
    <dxf>
      <numFmt numFmtId="1" formatCode="0"/>
    </dxf>
    <dxf>
      <numFmt numFmtId="31" formatCode="[h]:mm:ss"/>
    </dxf>
    <dxf>
      <numFmt numFmtId="31" formatCode="[h]:mm:ss"/>
    </dxf>
    <dxf>
      <numFmt numFmtId="1" formatCode="0"/>
    </dxf>
    <dxf>
      <numFmt numFmtId="31" formatCode="[h]:mm:ss"/>
    </dxf>
    <dxf>
      <numFmt numFmtId="31" formatCode="[h]:mm:ss"/>
    </dxf>
    <dxf>
      <numFmt numFmtId="1" formatCode="0"/>
    </dxf>
    <dxf>
      <numFmt numFmtId="164" formatCode="[$-409]mmmm\ d\,\ yyyy;@"/>
    </dxf>
    <dxf>
      <numFmt numFmtId="164" formatCode="[$-409]mmmm\ d\,\ yyyy;@"/>
    </dxf>
    <dxf>
      <numFmt numFmtId="164" formatCode="[$-409]mmmm\ d\,\ yyyy;@"/>
    </dxf>
    <dxf>
      <numFmt numFmtId="1" formatCode="0"/>
    </dxf>
    <dxf>
      <numFmt numFmtId="1" formatCode="0"/>
    </dxf>
    <dxf>
      <numFmt numFmtId="1" formatCode="0"/>
    </dxf>
    <dxf>
      <numFmt numFmtId="31" formatCode="[h]:mm:ss"/>
    </dxf>
    <dxf>
      <numFmt numFmtId="31" formatCode="[h]:mm:ss"/>
    </dxf>
    <dxf>
      <numFmt numFmtId="164" formatCode="[$-409]mmmm\ d\,\ yyyy;@"/>
    </dxf>
    <dxf>
      <numFmt numFmtId="164" formatCode="[$-409]mmmm\ d\,\ yyyy;@"/>
    </dxf>
    <dxf>
      <numFmt numFmtId="164" formatCode="[$-409]mmmm\ d\,\ yyyy;@"/>
    </dxf>
    <dxf>
      <numFmt numFmtId="1" formatCode="0"/>
    </dxf>
    <dxf>
      <numFmt numFmtId="31" formatCode="[h]:mm:ss"/>
    </dxf>
    <dxf>
      <numFmt numFmtId="31" formatCode="[h]:mm:ss"/>
    </dxf>
    <dxf>
      <numFmt numFmtId="1" formatCode="0"/>
    </dxf>
    <dxf>
      <numFmt numFmtId="31" formatCode="[h]:mm:ss"/>
    </dxf>
    <dxf>
      <numFmt numFmtId="1" formatCode="0"/>
    </dxf>
    <dxf>
      <numFmt numFmtId="0" formatCode="General"/>
    </dxf>
    <dxf>
      <numFmt numFmtId="13" formatCode="0%"/>
    </dxf>
    <dxf>
      <alignment horizontal="left"/>
    </dxf>
    <dxf>
      <font>
        <b/>
      </font>
    </dxf>
    <dxf>
      <numFmt numFmtId="0" formatCode="General"/>
    </dxf>
    <dxf>
      <numFmt numFmtId="13" formatCode="0%"/>
    </dxf>
    <dxf>
      <font>
        <b/>
      </font>
    </dxf>
    <dxf>
      <alignment horizontal="left"/>
    </dxf>
    <dxf>
      <numFmt numFmtId="0" formatCode="General"/>
    </dxf>
    <dxf>
      <numFmt numFmtId="31" formatCode="[h]:mm:ss"/>
    </dxf>
    <dxf>
      <alignment horizontal="left"/>
    </dxf>
    <dxf>
      <font>
        <b/>
      </font>
    </dxf>
    <dxf>
      <numFmt numFmtId="0" formatCode="General"/>
    </dxf>
    <dxf>
      <numFmt numFmtId="31" formatCode="[h]:mm:ss"/>
    </dxf>
    <dxf>
      <alignment horizontal="left"/>
    </dxf>
    <dxf>
      <font>
        <b/>
      </font>
    </dxf>
    <dxf>
      <numFmt numFmtId="0" formatCode="General"/>
    </dxf>
    <dxf>
      <numFmt numFmtId="31" formatCode="[h]:mm:ss"/>
    </dxf>
    <dxf>
      <alignment horizontal="left"/>
    </dxf>
    <dxf>
      <font>
        <b/>
      </font>
    </dxf>
    <dxf>
      <numFmt numFmtId="1" formatCode="0"/>
    </dxf>
    <dxf>
      <numFmt numFmtId="31" formatCode="[h]:mm:ss"/>
    </dxf>
    <dxf>
      <numFmt numFmtId="31" formatCode="[h]:mm:ss"/>
    </dxf>
    <dxf>
      <numFmt numFmtId="1" formatCode="0"/>
    </dxf>
    <dxf>
      <numFmt numFmtId="31" formatCode="[h]:mm:ss"/>
    </dxf>
    <dxf>
      <numFmt numFmtId="31" formatCode="[h]:mm:ss"/>
    </dxf>
    <dxf>
      <numFmt numFmtId="1" formatCode="0"/>
    </dxf>
    <dxf>
      <numFmt numFmtId="31" formatCode="[h]:mm:ss"/>
    </dxf>
    <dxf>
      <numFmt numFmtId="31" formatCode="[h]:mm:ss"/>
    </dxf>
    <dxf>
      <numFmt numFmtId="14" formatCode="0.00%"/>
    </dxf>
    <dxf>
      <numFmt numFmtId="1" formatCode="0"/>
    </dxf>
    <dxf>
      <numFmt numFmtId="31" formatCode="[h]:mm:ss"/>
    </dxf>
    <dxf>
      <numFmt numFmtId="31" formatCode="[h]:mm:ss"/>
    </dxf>
    <dxf>
      <numFmt numFmtId="1" formatCode="0"/>
    </dxf>
    <dxf>
      <numFmt numFmtId="31" formatCode="[h]:mm:ss"/>
    </dxf>
    <dxf>
      <numFmt numFmtId="31" formatCode="[h]:mm:ss"/>
    </dxf>
    <dxf>
      <numFmt numFmtId="0" formatCode="General"/>
    </dxf>
    <dxf>
      <numFmt numFmtId="0" formatCode="General"/>
    </dxf>
    <dxf>
      <alignment horizontal="left"/>
    </dxf>
    <dxf>
      <font>
        <b/>
      </font>
    </dxf>
    <dxf>
      <numFmt numFmtId="31" formatCode="[h]:mm:ss"/>
    </dxf>
    <dxf>
      <numFmt numFmtId="31" formatCode="[h]:mm:ss"/>
    </dxf>
    <dxf>
      <numFmt numFmtId="0" formatCode="General"/>
    </dxf>
    <dxf>
      <numFmt numFmtId="0" formatCode="General"/>
    </dxf>
    <dxf>
      <alignment horizontal="left"/>
    </dxf>
    <dxf>
      <font>
        <b/>
      </font>
    </dxf>
    <dxf>
      <numFmt numFmtId="31" formatCode="[h]:mm:ss"/>
    </dxf>
    <dxf>
      <numFmt numFmtId="1" formatCode="0"/>
    </dxf>
    <dxf>
      <numFmt numFmtId="31" formatCode="[h]:mm:ss"/>
    </dxf>
    <dxf>
      <numFmt numFmtId="31" formatCode="[h]:mm:ss"/>
    </dxf>
    <dxf>
      <numFmt numFmtId="1" formatCode="0"/>
    </dxf>
    <dxf>
      <numFmt numFmtId="31" formatCode="[h]:mm:ss"/>
    </dxf>
    <dxf>
      <numFmt numFmtId="31" formatCode="[h]:mm:ss"/>
    </dxf>
    <dxf>
      <numFmt numFmtId="1" formatCode="0"/>
    </dxf>
    <dxf>
      <numFmt numFmtId="164" formatCode="[$-409]mmmm\ d\,\ yyyy;@"/>
    </dxf>
    <dxf>
      <numFmt numFmtId="164" formatCode="[$-409]mmmm\ d\,\ yyyy;@"/>
    </dxf>
    <dxf>
      <numFmt numFmtId="164" formatCode="[$-409]mmmm\ d\,\ yyyy;@"/>
    </dxf>
    <dxf>
      <numFmt numFmtId="1" formatCode="0"/>
    </dxf>
    <dxf>
      <numFmt numFmtId="1" formatCode="0"/>
    </dxf>
    <dxf>
      <numFmt numFmtId="1" formatCode="0"/>
    </dxf>
    <dxf>
      <numFmt numFmtId="31" formatCode="[h]:mm:ss"/>
    </dxf>
    <dxf>
      <numFmt numFmtId="31" formatCode="[h]:mm:ss"/>
    </dxf>
    <dxf>
      <numFmt numFmtId="164" formatCode="[$-409]mmmm\ d\,\ yyyy;@"/>
    </dxf>
    <dxf>
      <numFmt numFmtId="164" formatCode="[$-409]mmmm\ d\,\ yyyy;@"/>
    </dxf>
    <dxf>
      <numFmt numFmtId="164" formatCode="[$-409]mmmm\ d\,\ yyyy;@"/>
    </dxf>
    <dxf>
      <numFmt numFmtId="1" formatCode="0"/>
    </dxf>
    <dxf>
      <numFmt numFmtId="31" formatCode="[h]:mm:ss"/>
    </dxf>
    <dxf>
      <numFmt numFmtId="31" formatCode="[h]:mm:ss"/>
    </dxf>
    <dxf>
      <numFmt numFmtId="1" formatCode="0"/>
    </dxf>
    <dxf>
      <numFmt numFmtId="31" formatCode="[h]:mm:ss"/>
    </dxf>
    <dxf>
      <numFmt numFmtId="1" formatCode="0"/>
    </dxf>
    <dxf>
      <numFmt numFmtId="0" formatCode="General"/>
    </dxf>
    <dxf>
      <numFmt numFmtId="13" formatCode="0%"/>
    </dxf>
    <dxf>
      <alignment horizontal="left"/>
    </dxf>
    <dxf>
      <font>
        <b/>
      </font>
    </dxf>
    <dxf>
      <numFmt numFmtId="0" formatCode="General"/>
    </dxf>
    <dxf>
      <numFmt numFmtId="13" formatCode="0%"/>
    </dxf>
    <dxf>
      <font>
        <b/>
      </font>
    </dxf>
    <dxf>
      <alignment horizontal="left"/>
    </dxf>
    <dxf>
      <numFmt numFmtId="0" formatCode="General"/>
    </dxf>
    <dxf>
      <numFmt numFmtId="31" formatCode="[h]:mm:ss"/>
    </dxf>
    <dxf>
      <alignment horizontal="left"/>
    </dxf>
    <dxf>
      <font>
        <b/>
      </font>
    </dxf>
    <dxf>
      <numFmt numFmtId="0" formatCode="General"/>
    </dxf>
    <dxf>
      <numFmt numFmtId="31" formatCode="[h]:mm:ss"/>
    </dxf>
    <dxf>
      <alignment horizontal="left"/>
    </dxf>
    <dxf>
      <font>
        <b/>
      </font>
    </dxf>
    <dxf>
      <numFmt numFmtId="0" formatCode="General"/>
    </dxf>
    <dxf>
      <numFmt numFmtId="31" formatCode="[h]:mm:ss"/>
    </dxf>
    <dxf>
      <alignment horizontal="left"/>
    </dxf>
    <dxf>
      <font>
        <b/>
      </font>
    </dxf>
    <dxf>
      <numFmt numFmtId="1" formatCode="0"/>
    </dxf>
    <dxf>
      <numFmt numFmtId="31" formatCode="[h]:mm:ss"/>
    </dxf>
    <dxf>
      <numFmt numFmtId="31" formatCode="[h]:mm:ss"/>
    </dxf>
    <dxf>
      <numFmt numFmtId="1" formatCode="0"/>
    </dxf>
    <dxf>
      <numFmt numFmtId="31" formatCode="[h]:mm:ss"/>
    </dxf>
    <dxf>
      <numFmt numFmtId="31" formatCode="[h]:mm:ss"/>
    </dxf>
    <dxf>
      <numFmt numFmtId="1" formatCode="0"/>
    </dxf>
    <dxf>
      <numFmt numFmtId="31" formatCode="[h]:mm:ss"/>
    </dxf>
    <dxf>
      <numFmt numFmtId="31" formatCode="[h]:mm:ss"/>
    </dxf>
    <dxf>
      <numFmt numFmtId="14" formatCode="0.00%"/>
    </dxf>
    <dxf>
      <numFmt numFmtId="1" formatCode="0"/>
    </dxf>
    <dxf>
      <numFmt numFmtId="31" formatCode="[h]:mm:ss"/>
    </dxf>
    <dxf>
      <numFmt numFmtId="31" formatCode="[h]:mm:ss"/>
    </dxf>
    <dxf>
      <numFmt numFmtId="1" formatCode="0"/>
    </dxf>
    <dxf>
      <numFmt numFmtId="31" formatCode="[h]:mm:ss"/>
    </dxf>
    <dxf>
      <numFmt numFmtId="31" formatCode="[h]:mm:ss"/>
    </dxf>
    <dxf>
      <numFmt numFmtId="0" formatCode="General"/>
    </dxf>
    <dxf>
      <numFmt numFmtId="0" formatCode="General"/>
    </dxf>
    <dxf>
      <alignment horizontal="left"/>
    </dxf>
    <dxf>
      <font>
        <b/>
      </font>
    </dxf>
    <dxf>
      <numFmt numFmtId="31" formatCode="[h]:mm:ss"/>
    </dxf>
    <dxf>
      <numFmt numFmtId="31" formatCode="[h]:mm:ss"/>
    </dxf>
    <dxf>
      <numFmt numFmtId="0" formatCode="General"/>
    </dxf>
    <dxf>
      <numFmt numFmtId="0" formatCode="General"/>
    </dxf>
    <dxf>
      <alignment horizontal="left"/>
    </dxf>
    <dxf>
      <font>
        <b/>
      </font>
    </dxf>
    <dxf>
      <numFmt numFmtId="31" formatCode="[h]:mm:ss"/>
    </dxf>
    <dxf>
      <numFmt numFmtId="1" formatCode="0"/>
    </dxf>
    <dxf>
      <numFmt numFmtId="31" formatCode="[h]:mm:ss"/>
    </dxf>
    <dxf>
      <numFmt numFmtId="31" formatCode="[h]:mm:ss"/>
    </dxf>
    <dxf>
      <numFmt numFmtId="1" formatCode="0"/>
    </dxf>
    <dxf>
      <numFmt numFmtId="31" formatCode="[h]:mm:ss"/>
    </dxf>
    <dxf>
      <numFmt numFmtId="31" formatCode="[h]:mm:ss"/>
    </dxf>
    <dxf>
      <numFmt numFmtId="1" formatCode="0"/>
    </dxf>
    <dxf>
      <numFmt numFmtId="164" formatCode="[$-409]mmmm\ d\,\ yyyy;@"/>
    </dxf>
    <dxf>
      <numFmt numFmtId="164" formatCode="[$-409]mmmm\ d\,\ yyyy;@"/>
    </dxf>
    <dxf>
      <numFmt numFmtId="164" formatCode="[$-409]mmmm\ d\,\ yyyy;@"/>
    </dxf>
    <dxf>
      <numFmt numFmtId="1" formatCode="0"/>
    </dxf>
    <dxf>
      <numFmt numFmtId="1" formatCode="0"/>
    </dxf>
    <dxf>
      <numFmt numFmtId="1" formatCode="0"/>
    </dxf>
    <dxf>
      <numFmt numFmtId="31" formatCode="[h]:mm:ss"/>
    </dxf>
    <dxf>
      <numFmt numFmtId="31" formatCode="[h]:mm:ss"/>
    </dxf>
    <dxf>
      <numFmt numFmtId="164" formatCode="[$-409]mmmm\ d\,\ yyyy;@"/>
    </dxf>
    <dxf>
      <numFmt numFmtId="164" formatCode="[$-409]mmmm\ d\,\ yyyy;@"/>
    </dxf>
    <dxf>
      <numFmt numFmtId="164" formatCode="[$-409]mmmm\ d\,\ yyyy;@"/>
    </dxf>
    <dxf>
      <numFmt numFmtId="1" formatCode="0"/>
    </dxf>
    <dxf>
      <numFmt numFmtId="31" formatCode="[h]:mm:ss"/>
    </dxf>
    <dxf>
      <numFmt numFmtId="31" formatCode="[h]:mm:ss"/>
    </dxf>
    <dxf>
      <numFmt numFmtId="1" formatCode="0"/>
    </dxf>
    <dxf>
      <numFmt numFmtId="31" formatCode="[h]:mm:ss"/>
    </dxf>
    <dxf>
      <numFmt numFmtId="1" formatCode="0"/>
    </dxf>
    <dxf>
      <numFmt numFmtId="0" formatCode="General"/>
    </dxf>
    <dxf>
      <numFmt numFmtId="13" formatCode="0%"/>
    </dxf>
    <dxf>
      <alignment horizontal="left"/>
    </dxf>
    <dxf>
      <font>
        <b/>
      </font>
    </dxf>
    <dxf>
      <numFmt numFmtId="0" formatCode="General"/>
    </dxf>
    <dxf>
      <numFmt numFmtId="13" formatCode="0%"/>
    </dxf>
    <dxf>
      <font>
        <b/>
      </font>
    </dxf>
    <dxf>
      <alignment horizontal="left"/>
    </dxf>
    <dxf>
      <numFmt numFmtId="0" formatCode="General"/>
    </dxf>
    <dxf>
      <numFmt numFmtId="31" formatCode="[h]:mm:ss"/>
    </dxf>
    <dxf>
      <alignment horizontal="left"/>
    </dxf>
    <dxf>
      <font>
        <b/>
      </font>
    </dxf>
    <dxf>
      <numFmt numFmtId="0" formatCode="General"/>
    </dxf>
    <dxf>
      <numFmt numFmtId="31" formatCode="[h]:mm:ss"/>
    </dxf>
    <dxf>
      <alignment horizontal="left"/>
    </dxf>
    <dxf>
      <font>
        <b/>
      </font>
    </dxf>
    <dxf>
      <numFmt numFmtId="0" formatCode="General"/>
    </dxf>
    <dxf>
      <numFmt numFmtId="31" formatCode="[h]:mm:ss"/>
    </dxf>
    <dxf>
      <alignment horizontal="left"/>
    </dxf>
    <dxf>
      <font>
        <b/>
      </font>
    </dxf>
    <dxf>
      <numFmt numFmtId="1" formatCode="0"/>
    </dxf>
    <dxf>
      <numFmt numFmtId="31" formatCode="[h]:mm:ss"/>
    </dxf>
    <dxf>
      <numFmt numFmtId="31" formatCode="[h]:mm:ss"/>
    </dxf>
    <dxf>
      <numFmt numFmtId="1" formatCode="0"/>
    </dxf>
    <dxf>
      <numFmt numFmtId="31" formatCode="[h]:mm:ss"/>
    </dxf>
    <dxf>
      <numFmt numFmtId="31" formatCode="[h]:mm:ss"/>
    </dxf>
    <dxf>
      <numFmt numFmtId="1" formatCode="0"/>
    </dxf>
    <dxf>
      <numFmt numFmtId="31" formatCode="[h]:mm:ss"/>
    </dxf>
    <dxf>
      <numFmt numFmtId="31" formatCode="[h]:mm:ss"/>
    </dxf>
    <dxf>
      <numFmt numFmtId="14" formatCode="0.00%"/>
    </dxf>
    <dxf>
      <numFmt numFmtId="1" formatCode="0"/>
    </dxf>
    <dxf>
      <numFmt numFmtId="31" formatCode="[h]:mm:ss"/>
    </dxf>
    <dxf>
      <numFmt numFmtId="31" formatCode="[h]:mm:ss"/>
    </dxf>
    <dxf>
      <numFmt numFmtId="1" formatCode="0"/>
    </dxf>
    <dxf>
      <numFmt numFmtId="31" formatCode="[h]:mm:ss"/>
    </dxf>
    <dxf>
      <numFmt numFmtId="31" formatCode="[h]:mm:ss"/>
    </dxf>
    <dxf>
      <numFmt numFmtId="0" formatCode="General"/>
    </dxf>
    <dxf>
      <numFmt numFmtId="0" formatCode="General"/>
    </dxf>
    <dxf>
      <alignment horizontal="left"/>
    </dxf>
    <dxf>
      <font>
        <b/>
      </font>
    </dxf>
    <dxf>
      <numFmt numFmtId="31" formatCode="[h]:mm:ss"/>
    </dxf>
    <dxf>
      <numFmt numFmtId="31" formatCode="[h]:mm:ss"/>
    </dxf>
    <dxf>
      <numFmt numFmtId="0" formatCode="General"/>
    </dxf>
    <dxf>
      <numFmt numFmtId="0" formatCode="General"/>
    </dxf>
    <dxf>
      <alignment horizontal="left"/>
    </dxf>
    <dxf>
      <font>
        <b/>
      </font>
    </dxf>
    <dxf>
      <numFmt numFmtId="31" formatCode="[h]:mm:ss"/>
    </dxf>
    <dxf>
      <numFmt numFmtId="1" formatCode="0"/>
    </dxf>
    <dxf>
      <numFmt numFmtId="31" formatCode="[h]:mm:ss"/>
    </dxf>
    <dxf>
      <numFmt numFmtId="31" formatCode="[h]:mm:ss"/>
    </dxf>
    <dxf>
      <numFmt numFmtId="1" formatCode="0"/>
    </dxf>
    <dxf>
      <numFmt numFmtId="31" formatCode="[h]:mm:ss"/>
    </dxf>
    <dxf>
      <numFmt numFmtId="31" formatCode="[h]:mm:ss"/>
    </dxf>
    <dxf>
      <numFmt numFmtId="1" formatCode="0"/>
    </dxf>
    <dxf>
      <numFmt numFmtId="164" formatCode="[$-409]mmmm\ d\,\ yyyy;@"/>
    </dxf>
    <dxf>
      <numFmt numFmtId="164" formatCode="[$-409]mmmm\ d\,\ yyyy;@"/>
    </dxf>
    <dxf>
      <numFmt numFmtId="164" formatCode="[$-409]mmmm\ d\,\ yyyy;@"/>
    </dxf>
    <dxf>
      <numFmt numFmtId="1" formatCode="0"/>
    </dxf>
    <dxf>
      <numFmt numFmtId="1" formatCode="0"/>
    </dxf>
    <dxf>
      <numFmt numFmtId="1" formatCode="0"/>
    </dxf>
    <dxf>
      <numFmt numFmtId="31" formatCode="[h]:mm:ss"/>
    </dxf>
    <dxf>
      <numFmt numFmtId="31" formatCode="[h]:mm:ss"/>
    </dxf>
    <dxf>
      <numFmt numFmtId="164" formatCode="[$-409]mmmm\ d\,\ yyyy;@"/>
    </dxf>
    <dxf>
      <numFmt numFmtId="164" formatCode="[$-409]mmmm\ d\,\ yyyy;@"/>
    </dxf>
    <dxf>
      <numFmt numFmtId="164" formatCode="[$-409]mmmm\ d\,\ yyyy;@"/>
    </dxf>
    <dxf>
      <numFmt numFmtId="1" formatCode="0"/>
    </dxf>
    <dxf>
      <numFmt numFmtId="31" formatCode="[h]:mm:ss"/>
    </dxf>
    <dxf>
      <numFmt numFmtId="31" formatCode="[h]:mm:ss"/>
    </dxf>
    <dxf>
      <numFmt numFmtId="1" formatCode="0"/>
    </dxf>
    <dxf>
      <numFmt numFmtId="31" formatCode="[h]:mm:ss"/>
    </dxf>
    <dxf>
      <numFmt numFmtId="1" formatCode="0"/>
    </dxf>
    <dxf>
      <numFmt numFmtId="0" formatCode="General"/>
    </dxf>
    <dxf>
      <numFmt numFmtId="13" formatCode="0%"/>
    </dxf>
    <dxf>
      <alignment horizontal="left"/>
    </dxf>
    <dxf>
      <font>
        <b/>
      </font>
    </dxf>
    <dxf>
      <numFmt numFmtId="0" formatCode="General"/>
    </dxf>
    <dxf>
      <numFmt numFmtId="13" formatCode="0%"/>
    </dxf>
    <dxf>
      <font>
        <b/>
      </font>
    </dxf>
    <dxf>
      <alignment horizontal="left"/>
    </dxf>
    <dxf>
      <numFmt numFmtId="0" formatCode="General"/>
    </dxf>
    <dxf>
      <numFmt numFmtId="31" formatCode="[h]:mm:ss"/>
    </dxf>
    <dxf>
      <alignment horizontal="left"/>
    </dxf>
    <dxf>
      <font>
        <b/>
      </font>
    </dxf>
    <dxf>
      <numFmt numFmtId="0" formatCode="General"/>
    </dxf>
    <dxf>
      <numFmt numFmtId="31" formatCode="[h]:mm:ss"/>
    </dxf>
    <dxf>
      <alignment horizontal="left"/>
    </dxf>
    <dxf>
      <font>
        <b/>
      </font>
    </dxf>
    <dxf>
      <numFmt numFmtId="0" formatCode="General"/>
    </dxf>
    <dxf>
      <numFmt numFmtId="31" formatCode="[h]:mm:ss"/>
    </dxf>
    <dxf>
      <alignment horizontal="left"/>
    </dxf>
    <dxf>
      <font>
        <b/>
      </font>
    </dxf>
    <dxf>
      <numFmt numFmtId="1" formatCode="0"/>
    </dxf>
    <dxf>
      <numFmt numFmtId="31" formatCode="[h]:mm:ss"/>
    </dxf>
    <dxf>
      <numFmt numFmtId="31" formatCode="[h]:mm:ss"/>
    </dxf>
    <dxf>
      <numFmt numFmtId="1" formatCode="0"/>
    </dxf>
    <dxf>
      <numFmt numFmtId="31" formatCode="[h]:mm:ss"/>
    </dxf>
    <dxf>
      <numFmt numFmtId="31" formatCode="[h]:mm:ss"/>
    </dxf>
    <dxf>
      <numFmt numFmtId="1" formatCode="0"/>
    </dxf>
    <dxf>
      <numFmt numFmtId="31" formatCode="[h]:mm:ss"/>
    </dxf>
    <dxf>
      <numFmt numFmtId="31" formatCode="[h]:mm:ss"/>
    </dxf>
    <dxf>
      <numFmt numFmtId="14" formatCode="0.00%"/>
    </dxf>
    <dxf>
      <numFmt numFmtId="1" formatCode="0"/>
    </dxf>
    <dxf>
      <numFmt numFmtId="31" formatCode="[h]:mm:ss"/>
    </dxf>
    <dxf>
      <numFmt numFmtId="31" formatCode="[h]:mm:ss"/>
    </dxf>
    <dxf>
      <numFmt numFmtId="1" formatCode="0"/>
    </dxf>
    <dxf>
      <numFmt numFmtId="31" formatCode="[h]:mm:ss"/>
    </dxf>
    <dxf>
      <numFmt numFmtId="31" formatCode="[h]:mm:ss"/>
    </dxf>
    <dxf>
      <numFmt numFmtId="0" formatCode="General"/>
    </dxf>
    <dxf>
      <numFmt numFmtId="0" formatCode="General"/>
    </dxf>
    <dxf>
      <alignment horizontal="left"/>
    </dxf>
    <dxf>
      <font>
        <b/>
      </font>
    </dxf>
    <dxf>
      <numFmt numFmtId="31" formatCode="[h]:mm:ss"/>
    </dxf>
    <dxf>
      <numFmt numFmtId="31" formatCode="[h]:mm:ss"/>
    </dxf>
    <dxf>
      <numFmt numFmtId="31" formatCode="[h]:mm:ss"/>
    </dxf>
    <dxf>
      <numFmt numFmtId="31" formatCode="[h]:mm:ss"/>
    </dxf>
    <dxf>
      <numFmt numFmtId="1" formatCode="0"/>
    </dxf>
    <dxf>
      <numFmt numFmtId="1" formatCode="0"/>
    </dxf>
    <dxf>
      <numFmt numFmtId="31" formatCode="[h]:mm:ss"/>
    </dxf>
    <dxf>
      <numFmt numFmtId="1" formatCode="0"/>
    </dxf>
    <dxf>
      <alignment horizontal="left"/>
    </dxf>
    <dxf>
      <font>
        <b/>
      </font>
    </dxf>
    <dxf>
      <numFmt numFmtId="13" formatCode="0%"/>
    </dxf>
    <dxf>
      <numFmt numFmtId="0" formatCode="General"/>
    </dxf>
    <dxf>
      <numFmt numFmtId="31" formatCode="[h]:mm:ss"/>
    </dxf>
    <dxf>
      <font>
        <b/>
      </font>
    </dxf>
    <dxf>
      <alignment horizontal="left"/>
    </dxf>
    <dxf>
      <numFmt numFmtId="0" formatCode="General"/>
    </dxf>
    <dxf>
      <numFmt numFmtId="0" formatCode="General"/>
    </dxf>
    <dxf>
      <numFmt numFmtId="31" formatCode="[h]:mm:ss"/>
    </dxf>
    <dxf>
      <numFmt numFmtId="31" formatCode="[h]:mm:ss"/>
    </dxf>
    <dxf>
      <numFmt numFmtId="1" formatCode="0"/>
    </dxf>
    <dxf>
      <numFmt numFmtId="31" formatCode="[h]:mm:ss"/>
    </dxf>
    <dxf>
      <numFmt numFmtId="31" formatCode="[h]:mm:ss"/>
    </dxf>
    <dxf>
      <numFmt numFmtId="1" formatCode="0"/>
    </dxf>
    <dxf>
      <numFmt numFmtId="31" formatCode="[h]:mm:ss"/>
    </dxf>
    <dxf>
      <numFmt numFmtId="31" formatCode="[h]:mm:ss"/>
    </dxf>
    <dxf>
      <numFmt numFmtId="1" formatCode="0"/>
    </dxf>
    <dxf>
      <numFmt numFmtId="14" formatCode="0.00%"/>
    </dxf>
    <dxf>
      <numFmt numFmtId="31" formatCode="[h]:mm:ss"/>
    </dxf>
    <dxf>
      <numFmt numFmtId="31" formatCode="[h]:mm:ss"/>
    </dxf>
    <dxf>
      <numFmt numFmtId="1" formatCode="0"/>
    </dxf>
    <dxf>
      <font>
        <b/>
      </font>
    </dxf>
    <dxf>
      <alignment horizontal="left"/>
    </dxf>
    <dxf>
      <numFmt numFmtId="31" formatCode="[h]:mm:ss"/>
    </dxf>
    <dxf>
      <numFmt numFmtId="0" formatCode="General"/>
    </dxf>
    <dxf>
      <font>
        <b/>
      </font>
    </dxf>
    <dxf>
      <alignment horizontal="left"/>
    </dxf>
    <dxf>
      <numFmt numFmtId="31" formatCode="[h]:mm:ss"/>
    </dxf>
    <dxf>
      <numFmt numFmtId="0" formatCode="General"/>
    </dxf>
    <dxf>
      <font>
        <b/>
      </font>
    </dxf>
    <dxf>
      <alignment horizontal="left"/>
    </dxf>
    <dxf>
      <numFmt numFmtId="31" formatCode="[h]:mm:ss"/>
    </dxf>
    <dxf>
      <numFmt numFmtId="0" formatCode="General"/>
    </dxf>
    <dxf>
      <numFmt numFmtId="31" formatCode="[h]:mm:ss"/>
    </dxf>
    <dxf>
      <numFmt numFmtId="31" formatCode="[h]:mm:ss"/>
    </dxf>
    <dxf>
      <numFmt numFmtId="1" formatCode="0"/>
    </dxf>
    <dxf>
      <numFmt numFmtId="31" formatCode="[h]:mm:ss"/>
    </dxf>
    <dxf>
      <numFmt numFmtId="31" formatCode="[h]:mm:ss"/>
    </dxf>
    <dxf>
      <numFmt numFmtId="1" formatCode="0"/>
    </dxf>
    <dxf>
      <numFmt numFmtId="1" formatCode="0"/>
    </dxf>
    <dxf>
      <numFmt numFmtId="164" formatCode="[$-409]mmmm\ d\,\ yyyy;@"/>
    </dxf>
    <dxf>
      <numFmt numFmtId="164" formatCode="[$-409]mmmm\ d\,\ yyyy;@"/>
    </dxf>
    <dxf>
      <numFmt numFmtId="164" formatCode="[$-409]mmmm\ d\,\ yyyy;@"/>
    </dxf>
    <dxf>
      <numFmt numFmtId="1" formatCode="0"/>
    </dxf>
    <dxf>
      <numFmt numFmtId="31" formatCode="[h]:mm:ss"/>
    </dxf>
    <dxf>
      <numFmt numFmtId="31" formatCode="[h]:mm:ss"/>
    </dxf>
    <dxf>
      <numFmt numFmtId="1" formatCode="0"/>
    </dxf>
    <dxf>
      <font>
        <b/>
      </font>
    </dxf>
    <dxf>
      <alignment horizontal="left"/>
    </dxf>
    <dxf>
      <numFmt numFmtId="13" formatCode="0%"/>
    </dxf>
    <dxf>
      <numFmt numFmtId="0" formatCode="General"/>
    </dxf>
    <dxf>
      <font>
        <b/>
      </font>
    </dxf>
    <dxf>
      <alignment horizontal="left"/>
    </dxf>
    <dxf>
      <numFmt numFmtId="0" formatCode="General"/>
    </dxf>
    <dxf>
      <numFmt numFmtId="0" formatCode="General"/>
    </dxf>
    <dxf>
      <numFmt numFmtId="31" formatCode="[h]:mm:ss"/>
    </dxf>
    <dxf>
      <numFmt numFmtId="31" formatCode="[h]:mm:ss"/>
    </dxf>
    <dxf>
      <numFmt numFmtId="1" formatCode="0"/>
    </dxf>
    <dxf>
      <numFmt numFmtId="31" formatCode="[h]:mm:ss"/>
    </dxf>
    <dxf>
      <numFmt numFmtId="31" formatCode="[h]:mm:ss"/>
    </dxf>
    <dxf>
      <numFmt numFmtId="164" formatCode="[$-409]mmmm\ d\,\ yyyy;@"/>
    </dxf>
    <dxf>
      <numFmt numFmtId="164" formatCode="[$-409]mmmm\ d\,\ yyyy;@"/>
    </dxf>
    <dxf>
      <numFmt numFmtId="164" formatCode="[$-409]mmmm\ d\,\ yyyy;@"/>
    </dxf>
    <dxf>
      <numFmt numFmtId="31" formatCode="[h]:mm:ss"/>
    </dxf>
    <dxf>
      <numFmt numFmtId="31" formatCode="[h]:mm:ss"/>
    </dxf>
    <dxf>
      <numFmt numFmtId="1" formatCode="0"/>
    </dxf>
    <dxf>
      <font>
        <b val="0"/>
        <i val="0"/>
        <sz val="10"/>
        <color theme="1" tint="0.24994659260841701"/>
        <name val="Abadi"/>
        <family val="2"/>
        <scheme val="none"/>
      </font>
      <border diagonalUp="1">
        <bottom style="thick">
          <color theme="1" tint="0.14996795556505021"/>
        </bottom>
        <diagonal style="thin">
          <color theme="0"/>
        </diagonal>
        <vertical/>
        <horizontal/>
      </border>
    </dxf>
    <dxf>
      <font>
        <b val="0"/>
        <i val="0"/>
        <sz val="12"/>
        <color theme="1" tint="0.24994659260841701"/>
        <name val="Abadi"/>
        <family val="2"/>
        <scheme val="none"/>
      </font>
      <fill>
        <patternFill patternType="solid">
          <fgColor theme="0"/>
          <bgColor rgb="FFEFEFEF"/>
        </patternFill>
      </fill>
      <border diagonalUp="0" diagonalDown="0">
        <left/>
        <right/>
        <top/>
        <bottom/>
        <vertical/>
        <horizontal/>
      </border>
    </dxf>
  </dxfs>
  <tableStyles count="2" defaultTableStyle="TableStyleMedium2" defaultPivotStyle="PivotStyleLight16">
    <tableStyle name="Invisible" pivot="0" table="0" count="0" xr9:uid="{BD2F7846-EE65-4D26-99CE-D4401C389872}"/>
    <tableStyle name="RED STYLE" pivot="0" table="0" count="10" xr9:uid="{BA2161A4-8753-48FF-8763-23E372749474}">
      <tableStyleElement type="wholeTable" dxfId="571"/>
      <tableStyleElement type="headerRow" dxfId="570"/>
    </tableStyle>
  </tableStyles>
  <colors>
    <mruColors>
      <color rgb="FF151F2E"/>
      <color rgb="FFEFEFEF"/>
      <color rgb="FFFF8B8B"/>
      <color rgb="FFFF5757"/>
      <color rgb="FFC0C0C0"/>
      <color rgb="FF273853"/>
      <color rgb="FF182334"/>
      <color rgb="FF2A3E5C"/>
      <color rgb="FF2A3C58"/>
      <color rgb="FF446596"/>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2"/>
          </font>
          <fill>
            <patternFill patternType="solid">
              <fgColor theme="0"/>
              <bgColor auto="1"/>
            </patternFill>
          </fill>
          <border diagonalUp="0" diagonalDown="0">
            <left/>
            <right/>
            <top/>
            <bottom/>
            <vertical/>
            <horizontal/>
          </border>
        </dxf>
        <dxf>
          <font>
            <color rgb="FF000000"/>
          </font>
          <fill>
            <patternFill patternType="solid">
              <fgColor auto="1"/>
              <bgColor theme="0"/>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0"/>
            </patternFill>
          </fill>
          <border>
            <left style="thin">
              <color rgb="FF999999"/>
            </left>
            <right style="thin">
              <color rgb="FF999999"/>
            </right>
            <top style="thin">
              <color rgb="FF999999"/>
            </top>
            <bottom style="thin">
              <color rgb="FF999999"/>
            </bottom>
            <vertical/>
            <horizontal/>
          </border>
        </dxf>
        <dxf>
          <font>
            <color rgb="FFFF0000"/>
          </font>
          <fill>
            <patternFill patternType="solid">
              <fgColor theme="2"/>
              <bgColor theme="5" tint="0.59999389629810485"/>
            </patternFill>
          </fill>
          <border diagonalUp="0" diagonalDown="0">
            <left/>
            <right/>
            <top/>
            <bottom/>
            <vertical/>
            <horizontal/>
          </border>
        </dxf>
        <dxf>
          <font>
            <b val="0"/>
            <i val="0"/>
            <sz val="8"/>
            <color theme="0"/>
            <name val="Abadi"/>
            <family val="2"/>
            <scheme val="none"/>
          </font>
          <fill>
            <patternFill patternType="solid">
              <fgColor theme="0"/>
              <bgColor rgb="FF151F2E"/>
            </patternFill>
          </fill>
          <border diagonalUp="0" diagonalDown="0">
            <left/>
            <right/>
            <top/>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diagonalUp="0" diagonalDown="0">
            <left/>
            <right/>
            <top/>
            <bottom/>
            <vertical/>
            <horizontal/>
          </border>
        </dxf>
      </x14:dxfs>
    </ext>
    <ext xmlns:x14="http://schemas.microsoft.com/office/spreadsheetml/2009/9/main" uri="{EB79DEF2-80B8-43e5-95BD-54CBDDF9020C}">
      <x14:slicerStyles defaultSlicerStyle="SlicerStyleLight1">
        <x14:slicerStyle name="RED STYLE">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11.xml"/><Relationship Id="rId18" Type="http://schemas.openxmlformats.org/officeDocument/2006/relationships/pivotCacheDefinition" Target="pivotCache/pivotCacheDefinition16.xml"/><Relationship Id="rId26" Type="http://schemas.microsoft.com/office/2007/relationships/slicerCache" Target="slicerCaches/slicerCache3.xml"/><Relationship Id="rId39" Type="http://schemas.openxmlformats.org/officeDocument/2006/relationships/customXml" Target="../customXml/item5.xml"/><Relationship Id="rId21" Type="http://schemas.openxmlformats.org/officeDocument/2006/relationships/pivotCacheDefinition" Target="pivotCache/pivotCacheDefinition19.xml"/><Relationship Id="rId34" Type="http://schemas.openxmlformats.org/officeDocument/2006/relationships/calcChain" Target="calcChain.xml"/><Relationship Id="rId42" Type="http://schemas.openxmlformats.org/officeDocument/2006/relationships/customXml" Target="../customXml/item8.xml"/><Relationship Id="rId47" Type="http://schemas.openxmlformats.org/officeDocument/2006/relationships/customXml" Target="../customXml/item13.xml"/><Relationship Id="rId50" Type="http://schemas.openxmlformats.org/officeDocument/2006/relationships/customXml" Target="../customXml/item16.xml"/><Relationship Id="rId55" Type="http://schemas.openxmlformats.org/officeDocument/2006/relationships/customXml" Target="../customXml/item21.xml"/><Relationship Id="rId63" Type="http://schemas.microsoft.com/office/2006/relationships/vbaProject" Target="vbaProject.bin"/><Relationship Id="rId7" Type="http://schemas.openxmlformats.org/officeDocument/2006/relationships/pivotCacheDefinition" Target="pivotCache/pivotCacheDefinition5.xml"/><Relationship Id="rId2" Type="http://schemas.openxmlformats.org/officeDocument/2006/relationships/worksheet" Target="worksheets/sheet2.xml"/><Relationship Id="rId16" Type="http://schemas.openxmlformats.org/officeDocument/2006/relationships/pivotCacheDefinition" Target="pivotCache/pivotCacheDefinition14.xml"/><Relationship Id="rId29" Type="http://schemas.openxmlformats.org/officeDocument/2006/relationships/connections" Target="connections.xml"/><Relationship Id="rId11" Type="http://schemas.openxmlformats.org/officeDocument/2006/relationships/pivotCacheDefinition" Target="pivotCache/pivotCacheDefinition9.xml"/><Relationship Id="rId24" Type="http://schemas.microsoft.com/office/2007/relationships/slicerCache" Target="slicerCaches/slicerCache1.xml"/><Relationship Id="rId32" Type="http://schemas.openxmlformats.org/officeDocument/2006/relationships/sheetMetadata" Target="metadata.xml"/><Relationship Id="rId37" Type="http://schemas.openxmlformats.org/officeDocument/2006/relationships/customXml" Target="../customXml/item3.xml"/><Relationship Id="rId40" Type="http://schemas.openxmlformats.org/officeDocument/2006/relationships/customXml" Target="../customXml/item6.xml"/><Relationship Id="rId45" Type="http://schemas.openxmlformats.org/officeDocument/2006/relationships/customXml" Target="../customXml/item11.xml"/><Relationship Id="rId53" Type="http://schemas.openxmlformats.org/officeDocument/2006/relationships/customXml" Target="../customXml/item19.xml"/><Relationship Id="rId58" Type="http://schemas.openxmlformats.org/officeDocument/2006/relationships/customXml" Target="../customXml/item24.xml"/><Relationship Id="rId5" Type="http://schemas.openxmlformats.org/officeDocument/2006/relationships/pivotCacheDefinition" Target="pivotCache/pivotCacheDefinition3.xml"/><Relationship Id="rId61" Type="http://schemas.openxmlformats.org/officeDocument/2006/relationships/customXml" Target="../customXml/item27.xml"/><Relationship Id="rId19" Type="http://schemas.openxmlformats.org/officeDocument/2006/relationships/pivotCacheDefinition" Target="pivotCache/pivotCacheDefinition17.xml"/><Relationship Id="rId14" Type="http://schemas.openxmlformats.org/officeDocument/2006/relationships/pivotCacheDefinition" Target="pivotCache/pivotCacheDefinition12.xml"/><Relationship Id="rId22" Type="http://schemas.openxmlformats.org/officeDocument/2006/relationships/pivotCacheDefinition" Target="pivotCache/pivotCacheDefinition20.xml"/><Relationship Id="rId27" Type="http://schemas.microsoft.com/office/2007/relationships/slicerCache" Target="slicerCaches/slicerCache4.xml"/><Relationship Id="rId30" Type="http://schemas.openxmlformats.org/officeDocument/2006/relationships/styles" Target="styles.xml"/><Relationship Id="rId35" Type="http://schemas.openxmlformats.org/officeDocument/2006/relationships/customXml" Target="../customXml/item1.xml"/><Relationship Id="rId43" Type="http://schemas.openxmlformats.org/officeDocument/2006/relationships/customXml" Target="../customXml/item9.xml"/><Relationship Id="rId48" Type="http://schemas.openxmlformats.org/officeDocument/2006/relationships/customXml" Target="../customXml/item14.xml"/><Relationship Id="rId56" Type="http://schemas.openxmlformats.org/officeDocument/2006/relationships/customXml" Target="../customXml/item22.xml"/><Relationship Id="rId8" Type="http://schemas.openxmlformats.org/officeDocument/2006/relationships/pivotCacheDefinition" Target="pivotCache/pivotCacheDefinition6.xml"/><Relationship Id="rId51" Type="http://schemas.openxmlformats.org/officeDocument/2006/relationships/customXml" Target="../customXml/item17.xml"/><Relationship Id="rId3" Type="http://schemas.openxmlformats.org/officeDocument/2006/relationships/pivotCacheDefinition" Target="pivotCache/pivotCacheDefinition1.xml"/><Relationship Id="rId12" Type="http://schemas.openxmlformats.org/officeDocument/2006/relationships/pivotCacheDefinition" Target="pivotCache/pivotCacheDefinition10.xml"/><Relationship Id="rId17" Type="http://schemas.openxmlformats.org/officeDocument/2006/relationships/pivotCacheDefinition" Target="pivotCache/pivotCacheDefinition15.xml"/><Relationship Id="rId25" Type="http://schemas.microsoft.com/office/2007/relationships/slicerCache" Target="slicerCaches/slicerCache2.xml"/><Relationship Id="rId33" Type="http://schemas.openxmlformats.org/officeDocument/2006/relationships/powerPivotData" Target="model/item.data"/><Relationship Id="rId38" Type="http://schemas.openxmlformats.org/officeDocument/2006/relationships/customXml" Target="../customXml/item4.xml"/><Relationship Id="rId46" Type="http://schemas.openxmlformats.org/officeDocument/2006/relationships/customXml" Target="../customXml/item12.xml"/><Relationship Id="rId59" Type="http://schemas.openxmlformats.org/officeDocument/2006/relationships/customXml" Target="../customXml/item25.xml"/><Relationship Id="rId20" Type="http://schemas.openxmlformats.org/officeDocument/2006/relationships/pivotCacheDefinition" Target="pivotCache/pivotCacheDefinition18.xml"/><Relationship Id="rId41" Type="http://schemas.openxmlformats.org/officeDocument/2006/relationships/customXml" Target="../customXml/item7.xml"/><Relationship Id="rId54" Type="http://schemas.openxmlformats.org/officeDocument/2006/relationships/customXml" Target="../customXml/item20.xml"/><Relationship Id="rId62" Type="http://schemas.openxmlformats.org/officeDocument/2006/relationships/customXml" Target="../customXml/item28.xml"/><Relationship Id="rId1" Type="http://schemas.openxmlformats.org/officeDocument/2006/relationships/worksheet" Target="worksheets/sheet1.xml"/><Relationship Id="rId6" Type="http://schemas.openxmlformats.org/officeDocument/2006/relationships/pivotCacheDefinition" Target="pivotCache/pivotCacheDefinition4.xml"/><Relationship Id="rId15" Type="http://schemas.openxmlformats.org/officeDocument/2006/relationships/pivotCacheDefinition" Target="pivotCache/pivotCacheDefinition13.xml"/><Relationship Id="rId23" Type="http://schemas.openxmlformats.org/officeDocument/2006/relationships/pivotCacheDefinition" Target="pivotCache/pivotCacheDefinition21.xml"/><Relationship Id="rId28" Type="http://schemas.openxmlformats.org/officeDocument/2006/relationships/theme" Target="theme/theme1.xml"/><Relationship Id="rId36" Type="http://schemas.openxmlformats.org/officeDocument/2006/relationships/customXml" Target="../customXml/item2.xml"/><Relationship Id="rId49" Type="http://schemas.openxmlformats.org/officeDocument/2006/relationships/customXml" Target="../customXml/item15.xml"/><Relationship Id="rId57" Type="http://schemas.openxmlformats.org/officeDocument/2006/relationships/customXml" Target="../customXml/item23.xml"/><Relationship Id="rId10" Type="http://schemas.openxmlformats.org/officeDocument/2006/relationships/pivotCacheDefinition" Target="pivotCache/pivotCacheDefinition8.xml"/><Relationship Id="rId31" Type="http://schemas.openxmlformats.org/officeDocument/2006/relationships/sharedStrings" Target="sharedStrings.xml"/><Relationship Id="rId44" Type="http://schemas.openxmlformats.org/officeDocument/2006/relationships/customXml" Target="../customXml/item10.xml"/><Relationship Id="rId52" Type="http://schemas.openxmlformats.org/officeDocument/2006/relationships/customXml" Target="../customXml/item18.xml"/><Relationship Id="rId60" Type="http://schemas.openxmlformats.org/officeDocument/2006/relationships/customXml" Target="../customXml/item26.xml"/><Relationship Id="rId4" Type="http://schemas.openxmlformats.org/officeDocument/2006/relationships/pivotCacheDefinition" Target="pivotCache/pivotCacheDefinition2.xml"/><Relationship Id="rId9" Type="http://schemas.openxmlformats.org/officeDocument/2006/relationships/pivotCacheDefinition" Target="pivotCache/pivotCacheDefinition7.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[Dasboard.xlsm]Analysis!PivotTable17</c:name>
    <c:fmtId val="102"/>
  </c:pivotSource>
  <c:chart>
    <c:autoTitleDeleted val="1"/>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2225" cap="rnd">
            <a:gradFill>
              <a:gsLst>
                <a:gs pos="90000">
                  <a:schemeClr val="accent2"/>
                </a:gs>
                <a:gs pos="95000">
                  <a:schemeClr val="accent1">
                    <a:lumMod val="30000"/>
                    <a:lumOff val="70000"/>
                  </a:schemeClr>
                </a:gs>
              </a:gsLst>
              <a:lin ang="5400000" scaled="1"/>
            </a:gradFill>
            <a:round/>
          </a:ln>
          <a:effectLst/>
        </c:spPr>
        <c:marker>
          <c:symbol val="circle"/>
          <c:size val="7"/>
          <c:spPr>
            <a:solidFill>
              <a:srgbClr val="FF0000"/>
            </a:solidFill>
            <a:ln w="9525">
              <a:solidFill>
                <a:srgbClr val="FF5757"/>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flip="none" rotWithShape="1">
            <a:gsLst>
              <a:gs pos="96000">
                <a:srgbClr val="FF5757">
                  <a:alpha val="18000"/>
                  <a:lumMod val="60000"/>
                </a:srgbClr>
              </a:gs>
              <a:gs pos="100000">
                <a:schemeClr val="accent1">
                  <a:lumMod val="30000"/>
                  <a:lumOff val="70000"/>
                </a:schemeClr>
              </a:gs>
            </a:gsLst>
            <a:path path="circle">
              <a:fillToRect l="100000" t="100000"/>
            </a:path>
            <a:tileRect r="-100000" b="-10000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2225" cap="rnd">
            <a:gradFill>
              <a:gsLst>
                <a:gs pos="90000">
                  <a:schemeClr val="accent2"/>
                </a:gs>
                <a:gs pos="95000">
                  <a:schemeClr val="accent1">
                    <a:lumMod val="30000"/>
                    <a:lumOff val="70000"/>
                  </a:schemeClr>
                </a:gs>
              </a:gsLst>
              <a:lin ang="5400000" scaled="1"/>
            </a:gradFill>
            <a:round/>
          </a:ln>
          <a:effectLst/>
        </c:spPr>
        <c:marker>
          <c:symbol val="circle"/>
          <c:size val="7"/>
          <c:spPr>
            <a:solidFill>
              <a:srgbClr val="FF0000"/>
            </a:solidFill>
            <a:ln w="9525">
              <a:solidFill>
                <a:srgbClr val="FF5757"/>
              </a:solidFill>
            </a:ln>
            <a:effectLst/>
          </c:spPr>
        </c:marker>
      </c:pivotFmt>
      <c:pivotFmt>
        <c:idx val="5"/>
        <c:spPr>
          <a:ln w="22225" cap="rnd">
            <a:gradFill>
              <a:gsLst>
                <a:gs pos="90000">
                  <a:schemeClr val="accent2"/>
                </a:gs>
                <a:gs pos="95000">
                  <a:schemeClr val="accent1">
                    <a:lumMod val="30000"/>
                    <a:lumOff val="70000"/>
                  </a:schemeClr>
                </a:gs>
              </a:gsLst>
              <a:lin ang="5400000" scaled="1"/>
            </a:gradFill>
            <a:round/>
          </a:ln>
          <a:effectLst/>
        </c:spPr>
        <c:marker>
          <c:symbol val="circle"/>
          <c:size val="7"/>
          <c:spPr>
            <a:solidFill>
              <a:srgbClr val="FF0000"/>
            </a:solidFill>
            <a:ln w="9525">
              <a:solidFill>
                <a:srgbClr val="FF5757"/>
              </a:solidFill>
            </a:ln>
            <a:effectLst/>
          </c:spPr>
        </c:marker>
      </c:pivotFmt>
      <c:pivotFmt>
        <c:idx val="6"/>
        <c:spPr>
          <a:ln w="22225" cap="rnd">
            <a:gradFill>
              <a:gsLst>
                <a:gs pos="90000">
                  <a:schemeClr val="accent2"/>
                </a:gs>
                <a:gs pos="95000">
                  <a:schemeClr val="accent1">
                    <a:lumMod val="30000"/>
                    <a:lumOff val="70000"/>
                  </a:schemeClr>
                </a:gs>
              </a:gsLst>
              <a:lin ang="5400000" scaled="1"/>
            </a:gradFill>
            <a:round/>
          </a:ln>
          <a:effectLst/>
        </c:spPr>
        <c:marker>
          <c:symbol val="circle"/>
          <c:size val="7"/>
          <c:spPr>
            <a:solidFill>
              <a:srgbClr val="FF0000"/>
            </a:solidFill>
            <a:ln w="9525">
              <a:solidFill>
                <a:srgbClr val="FF5757"/>
              </a:solidFill>
            </a:ln>
            <a:effectLst/>
          </c:spPr>
        </c:marker>
      </c:pivotFmt>
      <c:pivotFmt>
        <c:idx val="7"/>
        <c:spPr>
          <a:ln w="22225" cap="rnd">
            <a:gradFill>
              <a:gsLst>
                <a:gs pos="90000">
                  <a:schemeClr val="accent2"/>
                </a:gs>
                <a:gs pos="95000">
                  <a:schemeClr val="accent1">
                    <a:lumMod val="30000"/>
                    <a:lumOff val="70000"/>
                  </a:schemeClr>
                </a:gs>
              </a:gsLst>
              <a:lin ang="5400000" scaled="1"/>
            </a:gradFill>
            <a:round/>
          </a:ln>
          <a:effectLst/>
        </c:spPr>
        <c:marker>
          <c:symbol val="circle"/>
          <c:size val="7"/>
          <c:spPr>
            <a:solidFill>
              <a:srgbClr val="FF0000"/>
            </a:solidFill>
            <a:ln w="9525">
              <a:solidFill>
                <a:srgbClr val="FF5757"/>
              </a:solidFill>
            </a:ln>
            <a:effectLst/>
          </c:spPr>
        </c:marker>
      </c:pivotFmt>
      <c:pivotFmt>
        <c:idx val="8"/>
        <c:spPr>
          <a:ln w="22225" cap="rnd">
            <a:gradFill>
              <a:gsLst>
                <a:gs pos="90000">
                  <a:schemeClr val="accent2"/>
                </a:gs>
                <a:gs pos="95000">
                  <a:schemeClr val="accent1">
                    <a:lumMod val="30000"/>
                    <a:lumOff val="70000"/>
                  </a:schemeClr>
                </a:gs>
              </a:gsLst>
              <a:lin ang="5400000" scaled="1"/>
            </a:gradFill>
            <a:round/>
          </a:ln>
          <a:effectLst/>
        </c:spPr>
        <c:marker>
          <c:symbol val="circle"/>
          <c:size val="7"/>
          <c:spPr>
            <a:solidFill>
              <a:srgbClr val="FF0000"/>
            </a:solidFill>
            <a:ln w="9525">
              <a:solidFill>
                <a:srgbClr val="FF5757"/>
              </a:solidFill>
            </a:ln>
            <a:effectLst/>
          </c:spPr>
        </c:marker>
      </c:pivotFmt>
    </c:pivotFmts>
    <c:plotArea>
      <c:layout>
        <c:manualLayout>
          <c:layoutTarget val="inner"/>
          <c:xMode val="edge"/>
          <c:yMode val="edge"/>
          <c:x val="8.8026699654848162E-2"/>
          <c:y val="0.14327722495349327"/>
          <c:w val="0.83768892008835594"/>
          <c:h val="0.67012064521821069"/>
        </c:manualLayout>
      </c:layout>
      <c:areaChart>
        <c:grouping val="standard"/>
        <c:varyColors val="0"/>
        <c:ser>
          <c:idx val="1"/>
          <c:order val="1"/>
          <c:tx>
            <c:strRef>
              <c:f>Analysis!$AV$2</c:f>
              <c:strCache>
                <c:ptCount val="1"/>
                <c:pt idx="0">
                  <c:v>Count of Factor2</c:v>
                </c:pt>
              </c:strCache>
            </c:strRef>
          </c:tx>
          <c:spPr>
            <a:gradFill flip="none" rotWithShape="1">
              <a:gsLst>
                <a:gs pos="96000">
                  <a:srgbClr val="FF5757">
                    <a:alpha val="18000"/>
                    <a:lumMod val="60000"/>
                  </a:srgbClr>
                </a:gs>
                <a:gs pos="100000">
                  <a:schemeClr val="accent1">
                    <a:lumMod val="30000"/>
                    <a:lumOff val="70000"/>
                  </a:schemeClr>
                </a:gs>
              </a:gsLst>
              <a:path path="circle">
                <a:fillToRect l="100000" t="100000"/>
              </a:path>
              <a:tileRect r="-100000" b="-100000"/>
            </a:gradFill>
            <a:ln>
              <a:noFill/>
            </a:ln>
            <a:effectLst/>
          </c:spPr>
          <c:cat>
            <c:strRef>
              <c:f>Analysis!$AT$3:$AT$8</c:f>
              <c:strCache>
                <c:ptCount val="5"/>
                <c:pt idx="0">
                  <c:v>8/29/2024</c:v>
                </c:pt>
                <c:pt idx="1">
                  <c:v>8/30/2024</c:v>
                </c:pt>
                <c:pt idx="2">
                  <c:v>8/31/2024</c:v>
                </c:pt>
                <c:pt idx="3">
                  <c:v>9/2/2024</c:v>
                </c:pt>
                <c:pt idx="4">
                  <c:v>9/3/2024</c:v>
                </c:pt>
              </c:strCache>
            </c:strRef>
          </c:cat>
          <c:val>
            <c:numRef>
              <c:f>Analysis!$AV$3:$AV$8</c:f>
              <c:numCache>
                <c:formatCode>0</c:formatCode>
                <c:ptCount val="5"/>
                <c:pt idx="0">
                  <c:v>10</c:v>
                </c:pt>
                <c:pt idx="1">
                  <c:v>21</c:v>
                </c:pt>
                <c:pt idx="2">
                  <c:v>8</c:v>
                </c:pt>
                <c:pt idx="3">
                  <c:v>20</c:v>
                </c:pt>
                <c:pt idx="4">
                  <c:v>2</c:v>
                </c:pt>
              </c:numCache>
            </c:numRef>
          </c:val>
          <c:extLst>
            <c:ext xmlns:c16="http://schemas.microsoft.com/office/drawing/2014/chart" uri="{C3380CC4-5D6E-409C-BE32-E72D297353CC}">
              <c16:uniqueId val="{00000001-AE02-42D4-A0D6-8A6BFA1EDD45}"/>
            </c:ext>
          </c:extLst>
        </c:ser>
        <c:dLbls>
          <c:showLegendKey val="0"/>
          <c:showVal val="0"/>
          <c:showCatName val="0"/>
          <c:showSerName val="0"/>
          <c:showPercent val="0"/>
          <c:showBubbleSize val="0"/>
        </c:dLbls>
        <c:axId val="1001584175"/>
        <c:axId val="1001584655"/>
      </c:areaChart>
      <c:lineChart>
        <c:grouping val="standard"/>
        <c:varyColors val="0"/>
        <c:ser>
          <c:idx val="0"/>
          <c:order val="0"/>
          <c:tx>
            <c:strRef>
              <c:f>Analysis!$AU$2</c:f>
              <c:strCache>
                <c:ptCount val="1"/>
                <c:pt idx="0">
                  <c:v>Count of Factor</c:v>
                </c:pt>
              </c:strCache>
            </c:strRef>
          </c:tx>
          <c:spPr>
            <a:ln w="22225" cap="rnd">
              <a:gradFill>
                <a:gsLst>
                  <a:gs pos="90000">
                    <a:schemeClr val="accent2"/>
                  </a:gs>
                  <a:gs pos="95000">
                    <a:schemeClr val="accent1">
                      <a:lumMod val="30000"/>
                      <a:lumOff val="70000"/>
                    </a:schemeClr>
                  </a:gs>
                </a:gsLst>
                <a:lin ang="5400000" scaled="1"/>
              </a:gradFill>
              <a:round/>
            </a:ln>
            <a:effectLst/>
          </c:spPr>
          <c:marker>
            <c:symbol val="circle"/>
            <c:size val="7"/>
            <c:spPr>
              <a:solidFill>
                <a:srgbClr val="FF0000"/>
              </a:solidFill>
              <a:ln w="9525">
                <a:solidFill>
                  <a:srgbClr val="FF5757"/>
                </a:solidFill>
              </a:ln>
              <a:effectLst/>
            </c:spPr>
          </c:marker>
          <c:dPt>
            <c:idx val="0"/>
            <c:marker>
              <c:symbol val="circle"/>
              <c:size val="7"/>
              <c:spPr>
                <a:solidFill>
                  <a:srgbClr val="FF0000"/>
                </a:solidFill>
                <a:ln w="9525">
                  <a:solidFill>
                    <a:srgbClr val="FF5757"/>
                  </a:solidFill>
                </a:ln>
                <a:effectLst/>
              </c:spPr>
            </c:marker>
            <c:bubble3D val="0"/>
            <c:extLst>
              <c:ext xmlns:c16="http://schemas.microsoft.com/office/drawing/2014/chart" uri="{C3380CC4-5D6E-409C-BE32-E72D297353CC}">
                <c16:uniqueId val="{00000001-53CC-4C06-8CD9-1878C879CFF0}"/>
              </c:ext>
            </c:extLst>
          </c:dPt>
          <c:dPt>
            <c:idx val="1"/>
            <c:marker>
              <c:symbol val="circle"/>
              <c:size val="7"/>
              <c:spPr>
                <a:solidFill>
                  <a:srgbClr val="FF0000"/>
                </a:solidFill>
                <a:ln w="9525">
                  <a:solidFill>
                    <a:srgbClr val="FF5757"/>
                  </a:solidFill>
                </a:ln>
                <a:effectLst/>
              </c:spPr>
            </c:marker>
            <c:bubble3D val="0"/>
            <c:extLst>
              <c:ext xmlns:c16="http://schemas.microsoft.com/office/drawing/2014/chart" uri="{C3380CC4-5D6E-409C-BE32-E72D297353CC}">
                <c16:uniqueId val="{00000003-6BE1-4D85-BC97-9BA2B28727D9}"/>
              </c:ext>
            </c:extLst>
          </c:dPt>
          <c:dPt>
            <c:idx val="2"/>
            <c:marker>
              <c:symbol val="circle"/>
              <c:size val="7"/>
              <c:spPr>
                <a:solidFill>
                  <a:srgbClr val="FF0000"/>
                </a:solidFill>
                <a:ln w="9525">
                  <a:solidFill>
                    <a:srgbClr val="FF5757"/>
                  </a:solidFill>
                </a:ln>
                <a:effectLst/>
              </c:spPr>
            </c:marker>
            <c:bubble3D val="0"/>
            <c:extLst>
              <c:ext xmlns:c16="http://schemas.microsoft.com/office/drawing/2014/chart" uri="{C3380CC4-5D6E-409C-BE32-E72D297353CC}">
                <c16:uniqueId val="{00000000-D2E5-4DA5-9DB7-432CA43367D1}"/>
              </c:ext>
            </c:extLst>
          </c:dPt>
          <c:dPt>
            <c:idx val="3"/>
            <c:marker>
              <c:symbol val="circle"/>
              <c:size val="7"/>
              <c:spPr>
                <a:solidFill>
                  <a:srgbClr val="FF0000"/>
                </a:solidFill>
                <a:ln w="9525">
                  <a:solidFill>
                    <a:srgbClr val="FF5757"/>
                  </a:solidFill>
                </a:ln>
                <a:effectLst/>
              </c:spPr>
            </c:marker>
            <c:bubble3D val="0"/>
            <c:extLst>
              <c:ext xmlns:c16="http://schemas.microsoft.com/office/drawing/2014/chart" uri="{C3380CC4-5D6E-409C-BE32-E72D297353CC}">
                <c16:uniqueId val="{00000004-6BE1-4D85-BC97-9BA2B28727D9}"/>
              </c:ext>
            </c:extLst>
          </c:dPt>
          <c:dPt>
            <c:idx val="4"/>
            <c:marker>
              <c:symbol val="circle"/>
              <c:size val="7"/>
              <c:spPr>
                <a:solidFill>
                  <a:srgbClr val="FF0000"/>
                </a:solidFill>
                <a:ln w="9525">
                  <a:solidFill>
                    <a:srgbClr val="FF5757"/>
                  </a:solidFill>
                </a:ln>
                <a:effectLst/>
              </c:spPr>
            </c:marker>
            <c:bubble3D val="0"/>
            <c:extLst>
              <c:ext xmlns:c16="http://schemas.microsoft.com/office/drawing/2014/chart" uri="{C3380CC4-5D6E-409C-BE32-E72D297353CC}">
                <c16:uniqueId val="{00000000-53CC-4C06-8CD9-1878C879CFF0}"/>
              </c:ext>
            </c:extLst>
          </c:dPt>
          <c:cat>
            <c:strRef>
              <c:f>Analysis!$AT$3:$AT$8</c:f>
              <c:strCache>
                <c:ptCount val="5"/>
                <c:pt idx="0">
                  <c:v>8/29/2024</c:v>
                </c:pt>
                <c:pt idx="1">
                  <c:v>8/30/2024</c:v>
                </c:pt>
                <c:pt idx="2">
                  <c:v>8/31/2024</c:v>
                </c:pt>
                <c:pt idx="3">
                  <c:v>9/2/2024</c:v>
                </c:pt>
                <c:pt idx="4">
                  <c:v>9/3/2024</c:v>
                </c:pt>
              </c:strCache>
            </c:strRef>
          </c:cat>
          <c:val>
            <c:numRef>
              <c:f>Analysis!$AU$3:$AU$8</c:f>
              <c:numCache>
                <c:formatCode>0</c:formatCode>
                <c:ptCount val="5"/>
                <c:pt idx="0">
                  <c:v>10</c:v>
                </c:pt>
                <c:pt idx="1">
                  <c:v>21</c:v>
                </c:pt>
                <c:pt idx="2">
                  <c:v>8</c:v>
                </c:pt>
                <c:pt idx="3">
                  <c:v>20</c:v>
                </c:pt>
                <c:pt idx="4">
                  <c:v>2</c:v>
                </c:pt>
              </c:numCache>
            </c:numRef>
          </c:val>
          <c:smooth val="1"/>
          <c:extLst>
            <c:ext xmlns:c16="http://schemas.microsoft.com/office/drawing/2014/chart" uri="{C3380CC4-5D6E-409C-BE32-E72D297353CC}">
              <c16:uniqueId val="{00000000-AE02-42D4-A0D6-8A6BFA1EDD45}"/>
            </c:ext>
          </c:extLst>
        </c:ser>
        <c:dLbls>
          <c:showLegendKey val="0"/>
          <c:showVal val="0"/>
          <c:showCatName val="0"/>
          <c:showSerName val="0"/>
          <c:showPercent val="0"/>
          <c:showBubbleSize val="0"/>
        </c:dLbls>
        <c:marker val="1"/>
        <c:smooth val="0"/>
        <c:axId val="1001584175"/>
        <c:axId val="1001584655"/>
      </c:lineChart>
      <c:catAx>
        <c:axId val="1001584175"/>
        <c:scaling>
          <c:orientation val="minMax"/>
        </c:scaling>
        <c:delete val="1"/>
        <c:axPos val="b"/>
        <c:numFmt formatCode="General" sourceLinked="1"/>
        <c:majorTickMark val="out"/>
        <c:minorTickMark val="none"/>
        <c:tickLblPos val="nextTo"/>
        <c:crossAx val="1001584655"/>
        <c:crosses val="autoZero"/>
        <c:auto val="1"/>
        <c:lblAlgn val="ctr"/>
        <c:lblOffset val="100"/>
        <c:noMultiLvlLbl val="0"/>
      </c:catAx>
      <c:valAx>
        <c:axId val="1001584655"/>
        <c:scaling>
          <c:orientation val="minMax"/>
        </c:scaling>
        <c:delete val="1"/>
        <c:axPos val="l"/>
        <c:numFmt formatCode="0" sourceLinked="1"/>
        <c:majorTickMark val="none"/>
        <c:minorTickMark val="none"/>
        <c:tickLblPos val="nextTo"/>
        <c:crossAx val="1001584175"/>
        <c:crosses val="autoZero"/>
        <c:crossBetween val="midCat"/>
      </c:valAx>
      <c:spPr>
        <a:noFill/>
        <a:ln w="25400">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[Dasboard.xlsm]Analysis!PivotTable16</c:name>
    <c:fmtId val="126"/>
  </c:pivotSource>
  <c:chart>
    <c:autoTitleDeleted val="1"/>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1"/>
          </a:solidFill>
          <a:ln w="63500" cap="rnd">
            <a:gradFill>
              <a:gsLst>
                <a:gs pos="90000">
                  <a:schemeClr val="accent2"/>
                </a:gs>
                <a:gs pos="95000">
                  <a:schemeClr val="accent1">
                    <a:lumMod val="30000"/>
                    <a:lumOff val="70000"/>
                  </a:schemeClr>
                </a:gs>
              </a:gsLst>
              <a:lin ang="5400000" scaled="1"/>
            </a:gradFill>
            <a:round/>
          </a:ln>
          <a:effectLst/>
        </c:spPr>
        <c:marker>
          <c:spPr>
            <a:solidFill>
              <a:srgbClr val="FF0000"/>
            </a:solidFill>
            <a:ln w="9525">
              <a:solidFill>
                <a:srgbClr val="FF5757"/>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badi" panose="020B0604020104020204" pitchFamily="34" charset="0"/>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
        <c:spPr>
          <a:gradFill flip="none" rotWithShape="1">
            <a:gsLst>
              <a:gs pos="96000">
                <a:srgbClr val="FF5757">
                  <a:alpha val="18000"/>
                  <a:lumMod val="60000"/>
                </a:srgbClr>
              </a:gs>
              <a:gs pos="100000">
                <a:schemeClr val="accent1">
                  <a:lumMod val="30000"/>
                  <a:lumOff val="70000"/>
                </a:schemeClr>
              </a:gs>
            </a:gsLst>
            <a:path path="circle">
              <a:fillToRect l="100000" t="100000"/>
            </a:path>
            <a:tileRect r="-100000" b="-100000"/>
          </a:gra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spPr>
          <a:gradFill flip="none" rotWithShape="1">
            <a:gsLst>
              <a:gs pos="96000">
                <a:srgbClr val="FF5757">
                  <a:alpha val="18000"/>
                  <a:lumMod val="60000"/>
                </a:srgbClr>
              </a:gs>
              <a:gs pos="100000">
                <a:schemeClr val="accent1">
                  <a:lumMod val="30000"/>
                  <a:lumOff val="70000"/>
                </a:schemeClr>
              </a:gs>
            </a:gsLst>
            <a:path path="circle">
              <a:fillToRect l="100000" t="100000"/>
            </a:path>
            <a:tileRect r="-100000" b="-100000"/>
          </a:gra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5"/>
        <c:spPr>
          <a:solidFill>
            <a:schemeClr val="accent1"/>
          </a:solidFill>
          <a:ln w="63500" cap="rnd">
            <a:gradFill>
              <a:gsLst>
                <a:gs pos="90000">
                  <a:schemeClr val="accent2"/>
                </a:gs>
                <a:gs pos="95000">
                  <a:schemeClr val="accent1">
                    <a:lumMod val="30000"/>
                    <a:lumOff val="70000"/>
                  </a:schemeClr>
                </a:gs>
              </a:gsLst>
              <a:lin ang="5400000" scaled="1"/>
            </a:gradFill>
            <a:round/>
          </a:ln>
          <a:effectLst/>
        </c:spPr>
        <c:marker>
          <c:spPr>
            <a:solidFill>
              <a:srgbClr val="FF0000"/>
            </a:solidFill>
            <a:ln w="9525">
              <a:solidFill>
                <a:srgbClr val="FF5757"/>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badi" panose="020B0604020104020204" pitchFamily="34" charset="0"/>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6"/>
        <c:spPr>
          <a:gradFill flip="none" rotWithShape="1">
            <a:gsLst>
              <a:gs pos="96000">
                <a:srgbClr val="FF5757">
                  <a:alpha val="18000"/>
                  <a:lumMod val="60000"/>
                </a:srgbClr>
              </a:gs>
              <a:gs pos="100000">
                <a:schemeClr val="accent1">
                  <a:lumMod val="30000"/>
                  <a:lumOff val="70000"/>
                </a:schemeClr>
              </a:gs>
            </a:gsLst>
            <a:path path="circle">
              <a:fillToRect l="100000" t="100000"/>
            </a:path>
            <a:tileRect r="-100000" b="-100000"/>
          </a:gra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7"/>
        <c:spPr>
          <a:solidFill>
            <a:schemeClr val="accent1"/>
          </a:solidFill>
          <a:ln w="63500" cap="rnd">
            <a:gradFill>
              <a:gsLst>
                <a:gs pos="90000">
                  <a:schemeClr val="accent2"/>
                </a:gs>
                <a:gs pos="95000">
                  <a:schemeClr val="accent1">
                    <a:lumMod val="30000"/>
                    <a:lumOff val="70000"/>
                  </a:schemeClr>
                </a:gs>
              </a:gsLst>
              <a:lin ang="5400000" scaled="1"/>
            </a:gradFill>
            <a:round/>
          </a:ln>
          <a:effectLst/>
        </c:spPr>
        <c:marker>
          <c:spPr>
            <a:solidFill>
              <a:srgbClr val="FF0000"/>
            </a:solidFill>
            <a:ln w="9525">
              <a:solidFill>
                <a:srgbClr val="FF5757"/>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badi" panose="020B0604020104020204" pitchFamily="34" charset="0"/>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8"/>
        <c:spPr>
          <a:gradFill flip="none" rotWithShape="1">
            <a:gsLst>
              <a:gs pos="96000">
                <a:srgbClr val="FF5757">
                  <a:alpha val="18000"/>
                  <a:lumMod val="60000"/>
                </a:srgbClr>
              </a:gs>
              <a:gs pos="100000">
                <a:schemeClr val="accent1">
                  <a:lumMod val="30000"/>
                  <a:lumOff val="70000"/>
                </a:schemeClr>
              </a:gs>
            </a:gsLst>
            <a:path path="circle">
              <a:fillToRect l="100000" t="100000"/>
            </a:path>
            <a:tileRect r="-100000" b="-10000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ln w="22225" cap="rnd">
            <a:gradFill>
              <a:gsLst>
                <a:gs pos="90000">
                  <a:schemeClr val="accent2"/>
                </a:gs>
                <a:gs pos="95000">
                  <a:schemeClr val="accent1">
                    <a:lumMod val="30000"/>
                    <a:lumOff val="70000"/>
                  </a:schemeClr>
                </a:gs>
              </a:gsLst>
              <a:lin ang="5400000" scaled="1"/>
            </a:gradFill>
            <a:round/>
          </a:ln>
          <a:effectLst/>
        </c:spPr>
        <c:marker>
          <c:symbol val="circle"/>
          <c:size val="7"/>
          <c:spPr>
            <a:solidFill>
              <a:srgbClr val="FF0000"/>
            </a:solidFill>
            <a:ln w="9525">
              <a:solidFill>
                <a:srgbClr val="FF5757"/>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2225" cap="rnd">
            <a:gradFill>
              <a:gsLst>
                <a:gs pos="90000">
                  <a:schemeClr val="accent2"/>
                </a:gs>
                <a:gs pos="95000">
                  <a:schemeClr val="accent1">
                    <a:lumMod val="30000"/>
                    <a:lumOff val="70000"/>
                  </a:schemeClr>
                </a:gs>
              </a:gsLst>
              <a:lin ang="5400000" scaled="1"/>
            </a:gradFill>
            <a:round/>
          </a:ln>
          <a:effectLst/>
        </c:spPr>
        <c:marker>
          <c:symbol val="circle"/>
          <c:size val="7"/>
          <c:spPr>
            <a:solidFill>
              <a:srgbClr val="FF0000"/>
            </a:solidFill>
            <a:ln w="9525">
              <a:solidFill>
                <a:srgbClr val="FF5757"/>
              </a:solidFill>
            </a:ln>
            <a:effectLst/>
          </c:spPr>
        </c:marker>
      </c:pivotFmt>
      <c:pivotFmt>
        <c:idx val="11"/>
        <c:spPr>
          <a:ln w="22225" cap="rnd">
            <a:gradFill>
              <a:gsLst>
                <a:gs pos="90000">
                  <a:schemeClr val="accent2"/>
                </a:gs>
                <a:gs pos="95000">
                  <a:schemeClr val="accent1">
                    <a:lumMod val="30000"/>
                    <a:lumOff val="70000"/>
                  </a:schemeClr>
                </a:gs>
              </a:gsLst>
              <a:lin ang="5400000" scaled="1"/>
            </a:gradFill>
            <a:round/>
          </a:ln>
          <a:effectLst/>
        </c:spPr>
        <c:marker>
          <c:symbol val="circle"/>
          <c:size val="7"/>
          <c:spPr>
            <a:solidFill>
              <a:srgbClr val="FF0000"/>
            </a:solidFill>
            <a:ln w="9525">
              <a:solidFill>
                <a:srgbClr val="FF5757"/>
              </a:solidFill>
            </a:ln>
            <a:effectLst/>
          </c:spPr>
        </c:marker>
      </c:pivotFmt>
      <c:pivotFmt>
        <c:idx val="12"/>
        <c:spPr>
          <a:ln w="22225" cap="rnd">
            <a:gradFill>
              <a:gsLst>
                <a:gs pos="90000">
                  <a:schemeClr val="accent2"/>
                </a:gs>
                <a:gs pos="95000">
                  <a:schemeClr val="accent1">
                    <a:lumMod val="30000"/>
                    <a:lumOff val="70000"/>
                  </a:schemeClr>
                </a:gs>
              </a:gsLst>
              <a:lin ang="5400000" scaled="1"/>
            </a:gradFill>
            <a:round/>
          </a:ln>
          <a:effectLst/>
        </c:spPr>
        <c:marker>
          <c:symbol val="circle"/>
          <c:size val="7"/>
          <c:spPr>
            <a:solidFill>
              <a:srgbClr val="FF0000"/>
            </a:solidFill>
            <a:ln w="9525">
              <a:solidFill>
                <a:srgbClr val="FF5757"/>
              </a:solidFill>
            </a:ln>
            <a:effectLst/>
          </c:spPr>
        </c:marker>
      </c:pivotFmt>
      <c:pivotFmt>
        <c:idx val="13"/>
        <c:spPr>
          <a:ln w="22225" cap="rnd">
            <a:gradFill>
              <a:gsLst>
                <a:gs pos="90000">
                  <a:schemeClr val="accent2"/>
                </a:gs>
                <a:gs pos="95000">
                  <a:schemeClr val="accent1">
                    <a:lumMod val="30000"/>
                    <a:lumOff val="70000"/>
                  </a:schemeClr>
                </a:gs>
              </a:gsLst>
              <a:lin ang="5400000" scaled="1"/>
            </a:gradFill>
            <a:round/>
          </a:ln>
          <a:effectLst/>
        </c:spPr>
        <c:marker>
          <c:symbol val="circle"/>
          <c:size val="7"/>
          <c:spPr>
            <a:solidFill>
              <a:srgbClr val="FF0000"/>
            </a:solidFill>
            <a:ln w="9525">
              <a:solidFill>
                <a:srgbClr val="FF5757"/>
              </a:solidFill>
            </a:ln>
            <a:effectLst/>
          </c:spPr>
        </c:marker>
      </c:pivotFmt>
      <c:pivotFmt>
        <c:idx val="14"/>
        <c:spPr>
          <a:ln w="22225" cap="rnd">
            <a:gradFill>
              <a:gsLst>
                <a:gs pos="90000">
                  <a:schemeClr val="accent2"/>
                </a:gs>
                <a:gs pos="95000">
                  <a:schemeClr val="accent1">
                    <a:lumMod val="30000"/>
                    <a:lumOff val="70000"/>
                  </a:schemeClr>
                </a:gs>
              </a:gsLst>
              <a:lin ang="5400000" scaled="1"/>
            </a:gradFill>
            <a:round/>
          </a:ln>
          <a:effectLst/>
        </c:spPr>
        <c:marker>
          <c:symbol val="circle"/>
          <c:size val="7"/>
          <c:spPr>
            <a:solidFill>
              <a:srgbClr val="FF0000"/>
            </a:solidFill>
            <a:ln w="9525">
              <a:solidFill>
                <a:srgbClr val="FF5757"/>
              </a:solidFill>
            </a:ln>
            <a:effectLst/>
          </c:spPr>
        </c:marker>
      </c:pivotFmt>
    </c:pivotFmts>
    <c:plotArea>
      <c:layout>
        <c:manualLayout>
          <c:layoutTarget val="inner"/>
          <c:xMode val="edge"/>
          <c:yMode val="edge"/>
          <c:x val="8.8026699654848162E-2"/>
          <c:y val="0.18259809468049354"/>
          <c:w val="0.83768892008835594"/>
          <c:h val="0.63079980856286366"/>
        </c:manualLayout>
      </c:layout>
      <c:areaChart>
        <c:grouping val="standard"/>
        <c:varyColors val="0"/>
        <c:ser>
          <c:idx val="1"/>
          <c:order val="1"/>
          <c:tx>
            <c:strRef>
              <c:f>Analysis!$AR$2</c:f>
              <c:strCache>
                <c:ptCount val="1"/>
                <c:pt idx="0">
                  <c:v>Total Downtime2</c:v>
                </c:pt>
              </c:strCache>
            </c:strRef>
          </c:tx>
          <c:spPr>
            <a:gradFill flip="none" rotWithShape="1">
              <a:gsLst>
                <a:gs pos="96000">
                  <a:srgbClr val="FF5757">
                    <a:alpha val="18000"/>
                    <a:lumMod val="60000"/>
                  </a:srgbClr>
                </a:gs>
                <a:gs pos="100000">
                  <a:schemeClr val="accent1">
                    <a:lumMod val="30000"/>
                    <a:lumOff val="70000"/>
                  </a:schemeClr>
                </a:gs>
              </a:gsLst>
              <a:path path="circle">
                <a:fillToRect l="100000" t="100000"/>
              </a:path>
              <a:tileRect r="-100000" b="-100000"/>
            </a:gradFill>
            <a:ln>
              <a:noFill/>
            </a:ln>
            <a:effectLst/>
          </c:spPr>
          <c:cat>
            <c:strRef>
              <c:f>Analysis!$AP$3:$AP$8</c:f>
              <c:strCache>
                <c:ptCount val="5"/>
                <c:pt idx="0">
                  <c:v>8/29/2024</c:v>
                </c:pt>
                <c:pt idx="1">
                  <c:v>8/30/2024</c:v>
                </c:pt>
                <c:pt idx="2">
                  <c:v>8/31/2024</c:v>
                </c:pt>
                <c:pt idx="3">
                  <c:v>9/2/2024</c:v>
                </c:pt>
                <c:pt idx="4">
                  <c:v>9/3/2024</c:v>
                </c:pt>
              </c:strCache>
            </c:strRef>
          </c:cat>
          <c:val>
            <c:numRef>
              <c:f>Analysis!$AR$3:$AR$8</c:f>
              <c:numCache>
                <c:formatCode>[h]:mm:ss</c:formatCode>
                <c:ptCount val="5"/>
                <c:pt idx="0">
                  <c:v>0.16944444444444443</c:v>
                </c:pt>
                <c:pt idx="1">
                  <c:v>0.3083333333333334</c:v>
                </c:pt>
                <c:pt idx="2">
                  <c:v>0.11458333333333334</c:v>
                </c:pt>
                <c:pt idx="3">
                  <c:v>0.34930555555555559</c:v>
                </c:pt>
                <c:pt idx="4">
                  <c:v>2.2222222222222223E-2</c:v>
                </c:pt>
              </c:numCache>
            </c:numRef>
          </c:val>
          <c:extLst>
            <c:ext xmlns:c16="http://schemas.microsoft.com/office/drawing/2014/chart" uri="{C3380CC4-5D6E-409C-BE32-E72D297353CC}">
              <c16:uniqueId val="{00000001-C4CA-4515-927B-6935C25300B8}"/>
            </c:ext>
          </c:extLst>
        </c:ser>
        <c:dLbls>
          <c:showLegendKey val="0"/>
          <c:showVal val="0"/>
          <c:showCatName val="0"/>
          <c:showSerName val="0"/>
          <c:showPercent val="0"/>
          <c:showBubbleSize val="0"/>
        </c:dLbls>
        <c:axId val="1001584175"/>
        <c:axId val="1001584655"/>
      </c:areaChart>
      <c:lineChart>
        <c:grouping val="standard"/>
        <c:varyColors val="0"/>
        <c:ser>
          <c:idx val="0"/>
          <c:order val="0"/>
          <c:tx>
            <c:strRef>
              <c:f>Analysis!$AQ$2</c:f>
              <c:strCache>
                <c:ptCount val="1"/>
                <c:pt idx="0">
                  <c:v>Total Downtime</c:v>
                </c:pt>
              </c:strCache>
            </c:strRef>
          </c:tx>
          <c:spPr>
            <a:ln w="22225" cap="rnd">
              <a:gradFill>
                <a:gsLst>
                  <a:gs pos="90000">
                    <a:schemeClr val="accent2"/>
                  </a:gs>
                  <a:gs pos="95000">
                    <a:schemeClr val="accent1">
                      <a:lumMod val="30000"/>
                      <a:lumOff val="70000"/>
                    </a:schemeClr>
                  </a:gs>
                </a:gsLst>
                <a:lin ang="5400000" scaled="1"/>
              </a:gradFill>
              <a:round/>
            </a:ln>
            <a:effectLst/>
          </c:spPr>
          <c:marker>
            <c:symbol val="circle"/>
            <c:size val="7"/>
            <c:spPr>
              <a:solidFill>
                <a:srgbClr val="FF0000"/>
              </a:solidFill>
              <a:ln w="9525">
                <a:solidFill>
                  <a:srgbClr val="FF5757"/>
                </a:solidFill>
              </a:ln>
              <a:effectLst/>
            </c:spPr>
          </c:marker>
          <c:dPt>
            <c:idx val="0"/>
            <c:marker>
              <c:symbol val="circle"/>
              <c:size val="7"/>
              <c:spPr>
                <a:solidFill>
                  <a:srgbClr val="FF0000"/>
                </a:solidFill>
                <a:ln w="9525">
                  <a:solidFill>
                    <a:srgbClr val="FF5757"/>
                  </a:solidFill>
                </a:ln>
                <a:effectLst/>
              </c:spPr>
            </c:marker>
            <c:bubble3D val="0"/>
            <c:extLst>
              <c:ext xmlns:c16="http://schemas.microsoft.com/office/drawing/2014/chart" uri="{C3380CC4-5D6E-409C-BE32-E72D297353CC}">
                <c16:uniqueId val="{00000004-F042-4BBF-B2DC-EE42A38516B2}"/>
              </c:ext>
            </c:extLst>
          </c:dPt>
          <c:dPt>
            <c:idx val="1"/>
            <c:marker>
              <c:symbol val="circle"/>
              <c:size val="7"/>
              <c:spPr>
                <a:solidFill>
                  <a:srgbClr val="FF0000"/>
                </a:solidFill>
                <a:ln w="9525">
                  <a:solidFill>
                    <a:srgbClr val="FF5757"/>
                  </a:solidFill>
                </a:ln>
                <a:effectLst/>
              </c:spPr>
            </c:marker>
            <c:bubble3D val="0"/>
            <c:extLst>
              <c:ext xmlns:c16="http://schemas.microsoft.com/office/drawing/2014/chart" uri="{C3380CC4-5D6E-409C-BE32-E72D297353CC}">
                <c16:uniqueId val="{00000002-F042-4BBF-B2DC-EE42A38516B2}"/>
              </c:ext>
            </c:extLst>
          </c:dPt>
          <c:dPt>
            <c:idx val="2"/>
            <c:marker>
              <c:symbol val="circle"/>
              <c:size val="7"/>
              <c:spPr>
                <a:solidFill>
                  <a:srgbClr val="FF0000"/>
                </a:solidFill>
                <a:ln w="9525">
                  <a:solidFill>
                    <a:srgbClr val="FF5757"/>
                  </a:solidFill>
                </a:ln>
                <a:effectLst/>
              </c:spPr>
            </c:marker>
            <c:bubble3D val="0"/>
            <c:extLst>
              <c:ext xmlns:c16="http://schemas.microsoft.com/office/drawing/2014/chart" uri="{C3380CC4-5D6E-409C-BE32-E72D297353CC}">
                <c16:uniqueId val="{00000003-F042-4BBF-B2DC-EE42A38516B2}"/>
              </c:ext>
            </c:extLst>
          </c:dPt>
          <c:dPt>
            <c:idx val="3"/>
            <c:marker>
              <c:symbol val="circle"/>
              <c:size val="7"/>
              <c:spPr>
                <a:solidFill>
                  <a:srgbClr val="FF0000"/>
                </a:solidFill>
                <a:ln w="9525">
                  <a:solidFill>
                    <a:srgbClr val="FF5757"/>
                  </a:solidFill>
                </a:ln>
                <a:effectLst/>
              </c:spPr>
            </c:marker>
            <c:bubble3D val="0"/>
            <c:extLst>
              <c:ext xmlns:c16="http://schemas.microsoft.com/office/drawing/2014/chart" uri="{C3380CC4-5D6E-409C-BE32-E72D297353CC}">
                <c16:uniqueId val="{00000001-F042-4BBF-B2DC-EE42A38516B2}"/>
              </c:ext>
            </c:extLst>
          </c:dPt>
          <c:dPt>
            <c:idx val="4"/>
            <c:marker>
              <c:symbol val="circle"/>
              <c:size val="7"/>
              <c:spPr>
                <a:solidFill>
                  <a:srgbClr val="FF0000"/>
                </a:solidFill>
                <a:ln w="9525">
                  <a:solidFill>
                    <a:srgbClr val="FF5757"/>
                  </a:solidFill>
                </a:ln>
                <a:effectLst/>
              </c:spPr>
            </c:marker>
            <c:bubble3D val="0"/>
            <c:extLst>
              <c:ext xmlns:c16="http://schemas.microsoft.com/office/drawing/2014/chart" uri="{C3380CC4-5D6E-409C-BE32-E72D297353CC}">
                <c16:uniqueId val="{00000004-C4CA-4515-927B-6935C25300B8}"/>
              </c:ext>
            </c:extLst>
          </c:dPt>
          <c:cat>
            <c:strRef>
              <c:f>Analysis!$AP$3:$AP$8</c:f>
              <c:strCache>
                <c:ptCount val="5"/>
                <c:pt idx="0">
                  <c:v>8/29/2024</c:v>
                </c:pt>
                <c:pt idx="1">
                  <c:v>8/30/2024</c:v>
                </c:pt>
                <c:pt idx="2">
                  <c:v>8/31/2024</c:v>
                </c:pt>
                <c:pt idx="3">
                  <c:v>9/2/2024</c:v>
                </c:pt>
                <c:pt idx="4">
                  <c:v>9/3/2024</c:v>
                </c:pt>
              </c:strCache>
            </c:strRef>
          </c:cat>
          <c:val>
            <c:numRef>
              <c:f>Analysis!$AQ$3:$AQ$8</c:f>
              <c:numCache>
                <c:formatCode>[h]:mm:ss</c:formatCode>
                <c:ptCount val="5"/>
                <c:pt idx="0">
                  <c:v>0.16944444444444443</c:v>
                </c:pt>
                <c:pt idx="1">
                  <c:v>0.3083333333333334</c:v>
                </c:pt>
                <c:pt idx="2">
                  <c:v>0.11458333333333334</c:v>
                </c:pt>
                <c:pt idx="3">
                  <c:v>0.34930555555555559</c:v>
                </c:pt>
                <c:pt idx="4">
                  <c:v>2.2222222222222223E-2</c:v>
                </c:pt>
              </c:numCache>
            </c:numRef>
          </c:val>
          <c:smooth val="1"/>
          <c:extLst>
            <c:ext xmlns:c16="http://schemas.microsoft.com/office/drawing/2014/chart" uri="{C3380CC4-5D6E-409C-BE32-E72D297353CC}">
              <c16:uniqueId val="{00000003-C4CA-4515-927B-6935C25300B8}"/>
            </c:ext>
          </c:extLst>
        </c:ser>
        <c:dLbls>
          <c:showLegendKey val="0"/>
          <c:showVal val="0"/>
          <c:showCatName val="0"/>
          <c:showSerName val="0"/>
          <c:showPercent val="0"/>
          <c:showBubbleSize val="0"/>
        </c:dLbls>
        <c:marker val="1"/>
        <c:smooth val="0"/>
        <c:axId val="1001584175"/>
        <c:axId val="1001584655"/>
      </c:lineChart>
      <c:catAx>
        <c:axId val="1001584175"/>
        <c:scaling>
          <c:orientation val="minMax"/>
        </c:scaling>
        <c:delete val="1"/>
        <c:axPos val="b"/>
        <c:numFmt formatCode="General" sourceLinked="1"/>
        <c:majorTickMark val="out"/>
        <c:minorTickMark val="none"/>
        <c:tickLblPos val="nextTo"/>
        <c:crossAx val="1001584655"/>
        <c:crosses val="autoZero"/>
        <c:auto val="1"/>
        <c:lblAlgn val="ctr"/>
        <c:lblOffset val="100"/>
        <c:noMultiLvlLbl val="0"/>
      </c:catAx>
      <c:valAx>
        <c:axId val="1001584655"/>
        <c:scaling>
          <c:orientation val="minMax"/>
        </c:scaling>
        <c:delete val="1"/>
        <c:axPos val="l"/>
        <c:numFmt formatCode="[h]:mm:ss" sourceLinked="1"/>
        <c:majorTickMark val="none"/>
        <c:minorTickMark val="none"/>
        <c:tickLblPos val="nextTo"/>
        <c:crossAx val="1001584175"/>
        <c:crosses val="autoZero"/>
        <c:crossBetween val="midCat"/>
      </c:valAx>
      <c:spPr>
        <a:noFill/>
        <a:ln w="25400">
          <a:noFill/>
        </a:ln>
        <a:effectLst/>
      </c:spPr>
    </c:plotArea>
    <c:plotVisOnly val="1"/>
    <c:dispBlanksAs val="zero"/>
    <c:showDLblsOverMax val="0"/>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[Dasboard.xlsm]Analysis!PivotTable10</c:name>
    <c:fmtId val="34"/>
  </c:pivotSource>
  <c:chart>
    <c:autoTitleDeleted val="1"/>
    <c:pivotFmts>
      <c:pivotFmt>
        <c:idx val="0"/>
        <c:spPr>
          <a:solidFill>
            <a:srgbClr val="FF0000"/>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2"/>
                  </a:solidFill>
                  <a:latin typeface="Arial" panose="020B0604020202020204" pitchFamily="34" charset="0"/>
                  <a:ea typeface="+mn-ea"/>
                  <a:cs typeface="Arial" panose="020B0604020202020204" pitchFamily="34" charset="0"/>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bg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spPr>
          <a:solidFill>
            <a:srgbClr val="FF0000"/>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2"/>
                  </a:solidFill>
                  <a:latin typeface="Arial" panose="020B0604020202020204" pitchFamily="34" charset="0"/>
                  <a:ea typeface="+mn-ea"/>
                  <a:cs typeface="Arial" panose="020B0604020202020204" pitchFamily="34" charset="0"/>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bg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FF5757"/>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2"/>
                  </a:solidFill>
                  <a:latin typeface="Arial" panose="020B0604020202020204" pitchFamily="34" charset="0"/>
                  <a:ea typeface="+mn-ea"/>
                  <a:cs typeface="Arial" panose="020B0604020202020204" pitchFamily="34" charset="0"/>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bg2">
              <a:lumMod val="9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rgbClr val="FF5757"/>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2"/>
                  </a:solidFill>
                  <a:latin typeface="Arial" panose="020B0604020202020204" pitchFamily="34" charset="0"/>
                  <a:ea typeface="+mn-ea"/>
                  <a:cs typeface="Arial" panose="020B0604020202020204" pitchFamily="34" charset="0"/>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bg2">
              <a:lumMod val="9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rgbClr val="FF5757"/>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2"/>
                  </a:solidFill>
                  <a:latin typeface="Arial" panose="020B0604020202020204" pitchFamily="34" charset="0"/>
                  <a:ea typeface="+mn-ea"/>
                  <a:cs typeface="Arial" panose="020B0604020202020204" pitchFamily="34" charset="0"/>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bg2">
              <a:lumMod val="9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rgbClr val="FF5757"/>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2"/>
                  </a:solidFill>
                  <a:latin typeface="Arial" panose="020B0604020202020204" pitchFamily="34" charset="0"/>
                  <a:ea typeface="+mn-ea"/>
                  <a:cs typeface="Arial" panose="020B0604020202020204" pitchFamily="34" charset="0"/>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bg2">
              <a:lumMod val="9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rgbClr val="FF5757"/>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2"/>
                  </a:solidFill>
                  <a:latin typeface="Arial" panose="020B0604020202020204" pitchFamily="34" charset="0"/>
                  <a:ea typeface="+mn-ea"/>
                  <a:cs typeface="Arial" panose="020B0604020202020204" pitchFamily="34" charset="0"/>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bg2">
              <a:lumMod val="9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rgbClr val="FF5757"/>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2"/>
                  </a:solidFill>
                  <a:latin typeface="Arial" panose="020B0604020202020204" pitchFamily="34" charset="0"/>
                  <a:ea typeface="+mn-ea"/>
                  <a:cs typeface="Arial" panose="020B0604020202020204" pitchFamily="34" charset="0"/>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bg2">
              <a:lumMod val="9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rgbClr val="FF5757"/>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2"/>
                  </a:solidFill>
                  <a:latin typeface="Arial" panose="020B0604020202020204" pitchFamily="34" charset="0"/>
                  <a:ea typeface="+mn-ea"/>
                  <a:cs typeface="Arial" panose="020B0604020202020204" pitchFamily="34" charset="0"/>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bg2">
              <a:lumMod val="9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rgbClr val="FF5757"/>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2"/>
                  </a:solidFill>
                  <a:latin typeface="Arial" panose="020B0604020202020204" pitchFamily="34" charset="0"/>
                  <a:ea typeface="+mn-ea"/>
                  <a:cs typeface="Arial" panose="020B0604020202020204" pitchFamily="34" charset="0"/>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bg2">
              <a:lumMod val="9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rgbClr val="FF5757"/>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2"/>
                  </a:solidFill>
                  <a:latin typeface="Arial" panose="020B0604020202020204" pitchFamily="34" charset="0"/>
                  <a:ea typeface="+mn-ea"/>
                  <a:cs typeface="Arial" panose="020B0604020202020204" pitchFamily="34" charset="0"/>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bg2">
              <a:lumMod val="9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rgbClr val="FF5757"/>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2"/>
                  </a:solidFill>
                  <a:latin typeface="Arial" panose="020B0604020202020204" pitchFamily="34" charset="0"/>
                  <a:ea typeface="+mn-ea"/>
                  <a:cs typeface="Arial" panose="020B0604020202020204" pitchFamily="34" charset="0"/>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bg2">
              <a:lumMod val="9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rgbClr val="FF5757"/>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2"/>
                  </a:solidFill>
                  <a:latin typeface="Arial" panose="020B0604020202020204" pitchFamily="34" charset="0"/>
                  <a:ea typeface="+mn-ea"/>
                  <a:cs typeface="Arial" panose="020B0604020202020204" pitchFamily="34" charset="0"/>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bg2">
              <a:lumMod val="9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rgbClr val="FF5757"/>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2"/>
                  </a:solidFill>
                  <a:latin typeface="Arial" panose="020B0604020202020204" pitchFamily="34" charset="0"/>
                  <a:ea typeface="+mn-ea"/>
                  <a:cs typeface="Arial" panose="020B0604020202020204" pitchFamily="34" charset="0"/>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bg2">
              <a:lumMod val="9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rgbClr val="FF5757"/>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2"/>
                  </a:solidFill>
                  <a:latin typeface="Arial" panose="020B0604020202020204" pitchFamily="34" charset="0"/>
                  <a:ea typeface="+mn-ea"/>
                  <a:cs typeface="Arial" panose="020B0604020202020204" pitchFamily="34" charset="0"/>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bg2">
              <a:lumMod val="9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rgbClr val="FF5757"/>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2"/>
                  </a:solidFill>
                  <a:latin typeface="Arial" panose="020B0604020202020204" pitchFamily="34" charset="0"/>
                  <a:ea typeface="+mn-ea"/>
                  <a:cs typeface="Arial" panose="020B0604020202020204" pitchFamily="34" charset="0"/>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2"/>
        <c:spPr>
          <a:solidFill>
            <a:schemeClr val="bg2">
              <a:lumMod val="9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rgbClr val="FF5757"/>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2"/>
                  </a:solidFill>
                  <a:latin typeface="Arial" panose="020B0604020202020204" pitchFamily="34" charset="0"/>
                  <a:ea typeface="+mn-ea"/>
                  <a:cs typeface="Arial" panose="020B0604020202020204" pitchFamily="34" charset="0"/>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4"/>
        <c:spPr>
          <a:solidFill>
            <a:schemeClr val="bg2">
              <a:lumMod val="9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rgbClr val="FF5757"/>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2"/>
                  </a:solidFill>
                  <a:latin typeface="Abadi" panose="020B0604020104020204" pitchFamily="34" charset="0"/>
                  <a:ea typeface="+mn-ea"/>
                  <a:cs typeface="Arial" panose="020B0604020202020204" pitchFamily="34" charset="0"/>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6"/>
        <c:spPr>
          <a:solidFill>
            <a:schemeClr val="bg2">
              <a:lumMod val="9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rgbClr val="C0C0C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rgbClr val="C0C0C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bg1">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0"/>
        <c:spPr>
          <a:solidFill>
            <a:srgbClr val="FF5757"/>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3"/>
        <c:spPr>
          <a:solidFill>
            <a:srgbClr val="FF8B8B"/>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4"/>
        <c:spPr>
          <a:solidFill>
            <a:srgbClr val="FF8B8B"/>
          </a:solidFill>
          <a:ln>
            <a:noFill/>
          </a:ln>
          <a:effectLst/>
        </c:spPr>
      </c:pivotFmt>
    </c:pivotFmts>
    <c:plotArea>
      <c:layout>
        <c:manualLayout>
          <c:layoutTarget val="inner"/>
          <c:xMode val="edge"/>
          <c:yMode val="edge"/>
          <c:x val="9.0058478930858998E-2"/>
          <c:y val="9.8004653826574972E-2"/>
          <c:w val="0.8026101304071247"/>
          <c:h val="0.67203899093803576"/>
        </c:manualLayout>
      </c:layout>
      <c:barChart>
        <c:barDir val="bar"/>
        <c:grouping val="clustered"/>
        <c:varyColors val="0"/>
        <c:ser>
          <c:idx val="0"/>
          <c:order val="0"/>
          <c:tx>
            <c:strRef>
              <c:f>Analysis!$O$3</c:f>
              <c:strCache>
                <c:ptCount val="1"/>
                <c:pt idx="0">
                  <c:v> Downtime</c:v>
                </c:pt>
              </c:strCache>
            </c:strRef>
          </c:tx>
          <c:spPr>
            <a:solidFill>
              <a:srgbClr val="FF5757"/>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Analysis!$N$4:$N$10</c:f>
              <c:strCache>
                <c:ptCount val="6"/>
                <c:pt idx="0">
                  <c:v>OR-600</c:v>
                </c:pt>
                <c:pt idx="1">
                  <c:v>DC-600</c:v>
                </c:pt>
                <c:pt idx="2">
                  <c:v>LE-600</c:v>
                </c:pt>
                <c:pt idx="3">
                  <c:v>RB-600</c:v>
                </c:pt>
                <c:pt idx="4">
                  <c:v>CO-2L</c:v>
                </c:pt>
                <c:pt idx="5">
                  <c:v>CO-600</c:v>
                </c:pt>
              </c:strCache>
            </c:strRef>
          </c:cat>
          <c:val>
            <c:numRef>
              <c:f>Analysis!$O$4:$O$10</c:f>
              <c:numCache>
                <c:formatCode>[h]:mm:ss</c:formatCode>
                <c:ptCount val="6"/>
                <c:pt idx="0">
                  <c:v>5.2083333333333329E-2</c:v>
                </c:pt>
                <c:pt idx="1">
                  <c:v>7.9861111111111119E-2</c:v>
                </c:pt>
                <c:pt idx="2">
                  <c:v>0.11736111111111111</c:v>
                </c:pt>
                <c:pt idx="3">
                  <c:v>0.1791666666666667</c:v>
                </c:pt>
                <c:pt idx="4">
                  <c:v>0.19236111111111112</c:v>
                </c:pt>
                <c:pt idx="5">
                  <c:v>0.34305555555555561</c:v>
                </c:pt>
              </c:numCache>
            </c:numRef>
          </c:val>
          <c:extLst>
            <c:ext xmlns:c16="http://schemas.microsoft.com/office/drawing/2014/chart" uri="{C3380CC4-5D6E-409C-BE32-E72D297353CC}">
              <c16:uniqueId val="{00000011-7AD4-41DE-A4A5-5EF14F2A761A}"/>
            </c:ext>
          </c:extLst>
        </c:ser>
        <c:ser>
          <c:idx val="1"/>
          <c:order val="1"/>
          <c:tx>
            <c:strRef>
              <c:f>Analysis!$P$3</c:f>
              <c:strCache>
                <c:ptCount val="1"/>
                <c:pt idx="0">
                  <c:v>Total Worked Hours</c:v>
                </c:pt>
              </c:strCache>
            </c:strRef>
          </c:tx>
          <c:spPr>
            <a:solidFill>
              <a:srgbClr val="FF8B8B"/>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Analysis!$N$4:$N$10</c:f>
              <c:strCache>
                <c:ptCount val="6"/>
                <c:pt idx="0">
                  <c:v>OR-600</c:v>
                </c:pt>
                <c:pt idx="1">
                  <c:v>DC-600</c:v>
                </c:pt>
                <c:pt idx="2">
                  <c:v>LE-600</c:v>
                </c:pt>
                <c:pt idx="3">
                  <c:v>RB-600</c:v>
                </c:pt>
                <c:pt idx="4">
                  <c:v>CO-2L</c:v>
                </c:pt>
                <c:pt idx="5">
                  <c:v>CO-600</c:v>
                </c:pt>
              </c:strCache>
            </c:strRef>
          </c:cat>
          <c:val>
            <c:numRef>
              <c:f>Analysis!$P$4:$P$10</c:f>
              <c:numCache>
                <c:formatCode>[h]:mm:ss</c:formatCode>
                <c:ptCount val="6"/>
                <c:pt idx="0">
                  <c:v>9.375E-2</c:v>
                </c:pt>
                <c:pt idx="1">
                  <c:v>0.24652777777777776</c:v>
                </c:pt>
                <c:pt idx="2">
                  <c:v>0.36736111111111114</c:v>
                </c:pt>
                <c:pt idx="3">
                  <c:v>0.47083333333333333</c:v>
                </c:pt>
                <c:pt idx="4">
                  <c:v>0.53263888888888888</c:v>
                </c:pt>
                <c:pt idx="5">
                  <c:v>0.96805555555555567</c:v>
                </c:pt>
              </c:numCache>
            </c:numRef>
          </c:val>
          <c:extLst>
            <c:ext xmlns:c16="http://schemas.microsoft.com/office/drawing/2014/chart" uri="{C3380CC4-5D6E-409C-BE32-E72D297353CC}">
              <c16:uniqueId val="{00000001-41F5-44BB-A5BF-95E6E0B2F4B1}"/>
            </c:ext>
          </c:extLst>
        </c:ser>
        <c:ser>
          <c:idx val="2"/>
          <c:order val="2"/>
          <c:tx>
            <c:strRef>
              <c:f>Analysis!$Q$3</c:f>
              <c:strCache>
                <c:ptCount val="1"/>
                <c:pt idx="0">
                  <c:v> Std.Time</c:v>
                </c:pt>
              </c:strCache>
            </c:strRef>
          </c:tx>
          <c:spPr>
            <a:solidFill>
              <a:schemeClr val="bg1">
                <a:lumMod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Analysis!$N$4:$N$10</c:f>
              <c:strCache>
                <c:ptCount val="6"/>
                <c:pt idx="0">
                  <c:v>OR-600</c:v>
                </c:pt>
                <c:pt idx="1">
                  <c:v>DC-600</c:v>
                </c:pt>
                <c:pt idx="2">
                  <c:v>LE-600</c:v>
                </c:pt>
                <c:pt idx="3">
                  <c:v>RB-600</c:v>
                </c:pt>
                <c:pt idx="4">
                  <c:v>CO-2L</c:v>
                </c:pt>
                <c:pt idx="5">
                  <c:v>CO-600</c:v>
                </c:pt>
              </c:strCache>
            </c:strRef>
          </c:cat>
          <c:val>
            <c:numRef>
              <c:f>Analysis!$Q$4:$Q$10</c:f>
              <c:numCache>
                <c:formatCode>[h]:mm:ss</c:formatCode>
                <c:ptCount val="6"/>
                <c:pt idx="0">
                  <c:v>4.1666666666666664E-2</c:v>
                </c:pt>
                <c:pt idx="1">
                  <c:v>0.16666666666666666</c:v>
                </c:pt>
                <c:pt idx="2">
                  <c:v>0.24999999999999997</c:v>
                </c:pt>
                <c:pt idx="3">
                  <c:v>0.29166666666666663</c:v>
                </c:pt>
                <c:pt idx="4">
                  <c:v>0.34027777777777773</c:v>
                </c:pt>
                <c:pt idx="5">
                  <c:v>0.62499999999999989</c:v>
                </c:pt>
              </c:numCache>
            </c:numRef>
          </c:val>
          <c:extLst>
            <c:ext xmlns:c16="http://schemas.microsoft.com/office/drawing/2014/chart" uri="{C3380CC4-5D6E-409C-BE32-E72D297353CC}">
              <c16:uniqueId val="{00000007-41F5-44BB-A5BF-95E6E0B2F4B1}"/>
            </c:ext>
          </c:extLst>
        </c:ser>
        <c:dLbls>
          <c:dLblPos val="outEnd"/>
          <c:showLegendKey val="0"/>
          <c:showVal val="1"/>
          <c:showCatName val="0"/>
          <c:showSerName val="0"/>
          <c:showPercent val="0"/>
          <c:showBubbleSize val="0"/>
        </c:dLbls>
        <c:gapWidth val="40"/>
        <c:overlap val="-10"/>
        <c:axId val="209351615"/>
        <c:axId val="209347295"/>
      </c:barChart>
      <c:valAx>
        <c:axId val="209347295"/>
        <c:scaling>
          <c:orientation val="minMax"/>
        </c:scaling>
        <c:delete val="1"/>
        <c:axPos val="t"/>
        <c:numFmt formatCode="[h]:mm:ss" sourceLinked="1"/>
        <c:majorTickMark val="out"/>
        <c:minorTickMark val="none"/>
        <c:tickLblPos val="nextTo"/>
        <c:crossAx val="209351615"/>
        <c:crosses val="max"/>
        <c:crossBetween val="between"/>
      </c:valAx>
      <c:catAx>
        <c:axId val="209351615"/>
        <c:scaling>
          <c:orientation val="minMax"/>
        </c:scaling>
        <c:delete val="0"/>
        <c:axPos val="l"/>
        <c:numFmt formatCode="General" sourceLinked="1"/>
        <c:majorTickMark val="out"/>
        <c:minorTickMark val="none"/>
        <c:tickLblPos val="nextTo"/>
        <c:spPr>
          <a:noFill/>
          <a:ln w="9525" cap="flat" cmpd="sng" algn="ctr">
            <a:noFill/>
            <a:round/>
          </a:ln>
          <a:effectLst/>
        </c:spPr>
        <c:txPr>
          <a:bodyPr rot="-5400000" spcFirstLastPara="1" vertOverflow="ellipsis" wrap="square" anchor="ctr" anchorCtr="1"/>
          <a:lstStyle/>
          <a:p>
            <a:pPr>
              <a:defRPr sz="900" b="0" i="0" u="none" strike="noStrike" kern="1200" baseline="0">
                <a:solidFill>
                  <a:schemeClr val="tx1">
                    <a:lumMod val="95000"/>
                    <a:lumOff val="5000"/>
                  </a:schemeClr>
                </a:solidFill>
                <a:latin typeface="Arial" panose="020B0604020202020204" pitchFamily="34" charset="0"/>
                <a:ea typeface="+mn-ea"/>
                <a:cs typeface="Arial" panose="020B0604020202020204" pitchFamily="34" charset="0"/>
              </a:defRPr>
            </a:pPr>
            <a:endParaRPr lang="en-US"/>
          </a:p>
        </c:txPr>
        <c:crossAx val="209347295"/>
        <c:crosses val="autoZero"/>
        <c:auto val="1"/>
        <c:lblAlgn val="ctr"/>
        <c:lblOffset val="100"/>
        <c:noMultiLvlLbl val="0"/>
      </c:catAx>
      <c:spPr>
        <a:noFill/>
        <a:ln w="25400">
          <a:noFill/>
        </a:ln>
        <a:effectLst/>
      </c:spPr>
    </c:plotArea>
    <c:legend>
      <c:legendPos val="b"/>
      <c:layout>
        <c:manualLayout>
          <c:xMode val="edge"/>
          <c:yMode val="edge"/>
          <c:x val="3.298927578754568E-2"/>
          <c:y val="0.87990643333400598"/>
          <c:w val="0.57609814401153692"/>
          <c:h val="5.5625338362337476E-2"/>
        </c:manualLayout>
      </c:layout>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legend>
    <c:plotVisOnly val="1"/>
    <c:dispBlanksAs val="gap"/>
    <c:showDLblsOverMax val="0"/>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[Dasboard.xlsm]Analysis!PivotTable2</c:name>
    <c:fmtId val="13"/>
  </c:pivotSource>
  <c:chart>
    <c:autoTitleDeleted val="1"/>
    <c:pivotFmts>
      <c:pivotFmt>
        <c:idx val="0"/>
        <c:spPr>
          <a:solidFill>
            <a:schemeClr val="accent1"/>
          </a:solidFill>
          <a:ln>
            <a:noFill/>
          </a:ln>
          <a:effectLst/>
        </c:spPr>
      </c:pivotFmt>
      <c:pivotFmt>
        <c:idx val="1"/>
        <c:spPr>
          <a:solidFill>
            <a:schemeClr val="accent1"/>
          </a:solidFill>
          <a:ln>
            <a:noFill/>
          </a:ln>
          <a:effectLst/>
        </c:spPr>
      </c:pivotFmt>
      <c:pivotFmt>
        <c:idx val="2"/>
        <c:spPr>
          <a:solidFill>
            <a:schemeClr val="accent1"/>
          </a:solidFill>
          <a:ln>
            <a:noFill/>
          </a:ln>
          <a:effectLst/>
        </c:spPr>
      </c:pivotFmt>
      <c:pivotFmt>
        <c:idx val="3"/>
        <c:spPr>
          <a:solidFill>
            <a:srgbClr val="FF0000"/>
          </a:solidFill>
          <a:ln>
            <a:noFill/>
          </a:ln>
          <a:effectLst/>
        </c:spPr>
        <c:dLbl>
          <c:idx val="0"/>
          <c:spPr>
            <a:noFill/>
            <a:ln>
              <a:noFill/>
            </a:ln>
            <a:effectLst/>
          </c:spPr>
          <c:txPr>
            <a:bodyPr wrap="square" lIns="38100" tIns="19050" rIns="38100" bIns="19050" anchor="ctr">
              <a:spAutoFit/>
            </a:bodyPr>
            <a:lstStyle/>
            <a:p>
              <a:pPr>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rgbClr val="FF5757"/>
          </a:solidFill>
        </c:spPr>
        <c:dLbl>
          <c:idx val="0"/>
          <c:spPr>
            <a:noFill/>
            <a:ln>
              <a:noFill/>
            </a:ln>
            <a:effectLst/>
          </c:spPr>
          <c:txPr>
            <a:bodyPr wrap="square" lIns="38100" tIns="19050" rIns="38100" bIns="19050" anchor="ctr" anchorCtr="0">
              <a:spAutoFit/>
            </a:bodyPr>
            <a:lstStyle/>
            <a:p>
              <a:pPr algn="ctr">
                <a:defRPr lang="en-US" sz="800" b="1" i="0" u="none" strike="noStrike" kern="1200" baseline="0">
                  <a:solidFill>
                    <a:schemeClr val="tx1">
                      <a:lumMod val="75000"/>
                      <a:lumOff val="25000"/>
                    </a:schemeClr>
                  </a:solidFill>
                  <a:latin typeface="Abadi" panose="020B0604020104020204" pitchFamily="34" charset="0"/>
                  <a:ea typeface="+mn-ea"/>
                  <a:cs typeface="Arial" panose="020B0604020202020204" pitchFamily="34" charset="0"/>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5"/>
        <c:spPr>
          <a:solidFill>
            <a:srgbClr val="FF5757"/>
          </a:solidFill>
        </c:spPr>
      </c:pivotFmt>
      <c:pivotFmt>
        <c:idx val="6"/>
        <c:spPr>
          <a:solidFill>
            <a:srgbClr val="FF8B8B"/>
          </a:solidFill>
          <a:ln>
            <a:noFill/>
          </a:ln>
          <a:effectLst/>
        </c:spPr>
      </c:pivotFmt>
      <c:pivotFmt>
        <c:idx val="7"/>
      </c:pivotFmt>
      <c:pivotFmt>
        <c:idx val="8"/>
      </c:pivotFmt>
      <c:pivotFmt>
        <c:idx val="9"/>
      </c:pivotFmt>
      <c:pivotFmt>
        <c:idx val="10"/>
      </c:pivotFmt>
      <c:pivotFmt>
        <c:idx val="11"/>
      </c:pivotFmt>
      <c:pivotFmt>
        <c:idx val="12"/>
      </c:pivotFmt>
      <c:pivotFmt>
        <c:idx val="13"/>
      </c:pivotFmt>
      <c:pivotFmt>
        <c:idx val="14"/>
      </c:pivotFmt>
      <c:pivotFmt>
        <c:idx val="15"/>
      </c:pivotFmt>
      <c:pivotFmt>
        <c:idx val="16"/>
      </c:pivotFmt>
      <c:pivotFmt>
        <c:idx val="17"/>
      </c:pivotFmt>
      <c:pivotFmt>
        <c:idx val="18"/>
        <c:spPr>
          <a:solidFill>
            <a:srgbClr val="FF8B8B"/>
          </a:solidFill>
          <a:ln>
            <a:noFill/>
          </a:ln>
          <a:effectLst/>
        </c:spPr>
      </c:pivotFmt>
      <c:pivotFmt>
        <c:idx val="19"/>
        <c:spPr>
          <a:solidFill>
            <a:srgbClr val="FF5757"/>
          </a:solidFill>
        </c:spPr>
      </c:pivotFmt>
      <c:pivotFmt>
        <c:idx val="20"/>
        <c:spPr>
          <a:solidFill>
            <a:srgbClr val="FF8B8B"/>
          </a:solidFill>
          <a:ln>
            <a:noFill/>
          </a:ln>
          <a:effectLst/>
        </c:spPr>
      </c:pivotFmt>
      <c:pivotFmt>
        <c:idx val="21"/>
        <c:spPr>
          <a:solidFill>
            <a:srgbClr val="FF5757"/>
          </a:solidFill>
        </c:spPr>
      </c:pivotFmt>
      <c:pivotFmt>
        <c:idx val="22"/>
        <c:spPr>
          <a:solidFill>
            <a:srgbClr val="FF8B8B"/>
          </a:solidFill>
          <a:ln>
            <a:noFill/>
          </a:ln>
          <a:effectLst/>
        </c:spPr>
      </c:pivotFmt>
      <c:pivotFmt>
        <c:idx val="23"/>
        <c:spPr>
          <a:solidFill>
            <a:srgbClr val="FF5757"/>
          </a:solidFill>
        </c:spPr>
      </c:pivotFmt>
      <c:pivotFmt>
        <c:idx val="24"/>
        <c:spPr>
          <a:solidFill>
            <a:srgbClr val="FF8B8B"/>
          </a:solidFill>
          <a:ln>
            <a:noFill/>
          </a:ln>
          <a:effectLst/>
        </c:spPr>
      </c:pivotFmt>
      <c:pivotFmt>
        <c:idx val="25"/>
        <c:spPr>
          <a:solidFill>
            <a:srgbClr val="FF5757"/>
          </a:solidFill>
        </c:spPr>
      </c:pivotFmt>
      <c:pivotFmt>
        <c:idx val="26"/>
        <c:spPr>
          <a:solidFill>
            <a:srgbClr val="FF8B8B"/>
          </a:solidFill>
          <a:ln>
            <a:noFill/>
          </a:ln>
          <a:effectLst/>
        </c:spPr>
      </c:pivotFmt>
      <c:pivotFmt>
        <c:idx val="27"/>
        <c:spPr>
          <a:solidFill>
            <a:srgbClr val="FF5757"/>
          </a:solidFill>
        </c:spPr>
      </c:pivotFmt>
      <c:pivotFmt>
        <c:idx val="28"/>
        <c:spPr>
          <a:solidFill>
            <a:srgbClr val="FF8B8B"/>
          </a:solidFill>
          <a:effectLst/>
        </c:spPr>
        <c:marker>
          <c:symbol val="none"/>
        </c:marker>
        <c:dLbl>
          <c:idx val="0"/>
          <c:spPr>
            <a:noFill/>
            <a:ln>
              <a:noFill/>
            </a:ln>
            <a:effectLst/>
          </c:spPr>
          <c:txPr>
            <a:bodyPr wrap="square" lIns="38100" tIns="19050" rIns="38100" bIns="19050" anchor="ctr">
              <a:spAutoFit/>
            </a:bodyPr>
            <a:lstStyle/>
            <a:p>
              <a:pPr>
                <a:defRPr sz="900">
                  <a:latin typeface="Abadi" panose="020B0604020104020204"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9"/>
        <c:spPr>
          <a:solidFill>
            <a:srgbClr val="FF5757"/>
          </a:solidFill>
        </c:spPr>
        <c:marker>
          <c:symbol val="none"/>
        </c:marker>
        <c:dLbl>
          <c:idx val="0"/>
          <c:spPr>
            <a:noFill/>
            <a:ln>
              <a:noFill/>
            </a:ln>
            <a:effectLst/>
          </c:spPr>
          <c:txPr>
            <a:bodyPr wrap="square" lIns="38100" tIns="19050" rIns="38100" bIns="19050" anchor="ctr">
              <a:spAutoFit/>
            </a:bodyPr>
            <a:lstStyle/>
            <a:p>
              <a:pPr>
                <a:defRPr sz="900">
                  <a:latin typeface="Abadi" panose="020B0604020104020204"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0"/>
        <c:marker>
          <c:symbol val="none"/>
        </c:marker>
        <c:dLbl>
          <c:idx val="0"/>
          <c:delete val="1"/>
          <c:extLst>
            <c:ext xmlns:c15="http://schemas.microsoft.com/office/drawing/2012/chart" uri="{CE6537A1-D6FC-4f65-9D91-7224C49458BB}"/>
          </c:extLst>
        </c:dLbl>
      </c:pivotFmt>
      <c:pivotFmt>
        <c:idx val="31"/>
        <c:marker>
          <c:symbol val="none"/>
        </c:marker>
        <c:dLbl>
          <c:idx val="0"/>
          <c:delete val="1"/>
          <c:extLst>
            <c:ext xmlns:c15="http://schemas.microsoft.com/office/drawing/2012/chart" uri="{CE6537A1-D6FC-4f65-9D91-7224C49458BB}"/>
          </c:extLst>
        </c:dLbl>
      </c:pivotFmt>
      <c:pivotFmt>
        <c:idx val="32"/>
        <c:spPr>
          <a:solidFill>
            <a:srgbClr val="FF5757"/>
          </a:solidFill>
        </c:spPr>
        <c:marker>
          <c:symbol val="none"/>
        </c:marker>
        <c:dLbl>
          <c:idx val="0"/>
          <c:delete val="1"/>
          <c:extLst>
            <c:ext xmlns:c15="http://schemas.microsoft.com/office/drawing/2012/chart" uri="{CE6537A1-D6FC-4f65-9D91-7224C49458BB}"/>
          </c:extLst>
        </c:dLbl>
      </c:pivotFmt>
    </c:pivotFmts>
    <c:plotArea>
      <c:layout>
        <c:manualLayout>
          <c:layoutTarget val="inner"/>
          <c:xMode val="edge"/>
          <c:yMode val="edge"/>
          <c:x val="0.22334223101849776"/>
          <c:y val="7.834550278600956E-2"/>
          <c:w val="0.55816697871777388"/>
          <c:h val="0.79266052424603162"/>
        </c:manualLayout>
      </c:layout>
      <c:barChart>
        <c:barDir val="bar"/>
        <c:grouping val="clustered"/>
        <c:varyColors val="0"/>
        <c:ser>
          <c:idx val="0"/>
          <c:order val="0"/>
          <c:tx>
            <c:strRef>
              <c:f>Analysis!$G$3:$G$4</c:f>
              <c:strCache>
                <c:ptCount val="1"/>
                <c:pt idx="0">
                  <c:v>No</c:v>
                </c:pt>
              </c:strCache>
            </c:strRef>
          </c:tx>
          <c:spPr>
            <a:solidFill>
              <a:srgbClr val="FF8B8B"/>
            </a:solidFill>
            <a:effectLst/>
          </c:spPr>
          <c:invertIfNegative val="0"/>
          <c:dLbls>
            <c:spPr>
              <a:noFill/>
              <a:ln>
                <a:noFill/>
              </a:ln>
              <a:effectLst/>
            </c:spPr>
            <c:txPr>
              <a:bodyPr wrap="square" lIns="38100" tIns="19050" rIns="38100" bIns="19050" anchor="ctr">
                <a:spAutoFit/>
              </a:bodyPr>
              <a:lstStyle/>
              <a:p>
                <a:pPr>
                  <a:defRPr sz="900">
                    <a:latin typeface="Abadi" panose="020B0604020104020204"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Analysis!$F$5:$F$15</c:f>
              <c:strCache>
                <c:ptCount val="11"/>
                <c:pt idx="0">
                  <c:v>Conveyor Belt Jam</c:v>
                </c:pt>
                <c:pt idx="1">
                  <c:v>Label Switch</c:v>
                </c:pt>
                <c:pt idx="2">
                  <c:v>Labeling Error</c:v>
                </c:pt>
                <c:pt idx="3">
                  <c:v>Calibration Error</c:v>
                </c:pt>
                <c:pt idx="4">
                  <c:v>Product Spill</c:v>
                </c:pt>
                <c:pt idx="5">
                  <c:v>Other</c:v>
                </c:pt>
                <c:pt idx="6">
                  <c:v>Batch Coding Error</c:v>
                </c:pt>
                <c:pt idx="7">
                  <c:v>Batch Change</c:v>
                </c:pt>
                <c:pt idx="8">
                  <c:v>Inventory Shortage</c:v>
                </c:pt>
                <c:pt idx="9">
                  <c:v>Machine Failure</c:v>
                </c:pt>
                <c:pt idx="10">
                  <c:v>Machine Adjustment</c:v>
                </c:pt>
              </c:strCache>
            </c:strRef>
          </c:cat>
          <c:val>
            <c:numRef>
              <c:f>Analysis!$G$5:$G$15</c:f>
              <c:numCache>
                <c:formatCode>[h]:mm:ss</c:formatCode>
                <c:ptCount val="11"/>
                <c:pt idx="0">
                  <c:v>1.1805555555555555E-2</c:v>
                </c:pt>
                <c:pt idx="2">
                  <c:v>2.9166666666666667E-2</c:v>
                </c:pt>
                <c:pt idx="5">
                  <c:v>5.1388888888888887E-2</c:v>
                </c:pt>
                <c:pt idx="8">
                  <c:v>0.15625</c:v>
                </c:pt>
                <c:pt idx="9">
                  <c:v>0.1763888888888889</c:v>
                </c:pt>
              </c:numCache>
            </c:numRef>
          </c:val>
          <c:extLst>
            <c:ext xmlns:c16="http://schemas.microsoft.com/office/drawing/2014/chart" uri="{C3380CC4-5D6E-409C-BE32-E72D297353CC}">
              <c16:uniqueId val="{00000027-4409-4535-B58B-2AC24DEEBF2B}"/>
            </c:ext>
          </c:extLst>
        </c:ser>
        <c:ser>
          <c:idx val="1"/>
          <c:order val="1"/>
          <c:tx>
            <c:strRef>
              <c:f>Analysis!$H$3:$H$4</c:f>
              <c:strCache>
                <c:ptCount val="1"/>
                <c:pt idx="0">
                  <c:v>Yes</c:v>
                </c:pt>
              </c:strCache>
            </c:strRef>
          </c:tx>
          <c:spPr>
            <a:solidFill>
              <a:srgbClr val="FF5757"/>
            </a:solidFill>
          </c:spPr>
          <c:invertIfNegative val="0"/>
          <c:dLbls>
            <c:spPr>
              <a:noFill/>
              <a:ln>
                <a:noFill/>
              </a:ln>
              <a:effectLst/>
            </c:spPr>
            <c:txPr>
              <a:bodyPr wrap="square" lIns="38100" tIns="19050" rIns="38100" bIns="19050" anchor="ctr">
                <a:spAutoFit/>
              </a:bodyPr>
              <a:lstStyle/>
              <a:p>
                <a:pPr>
                  <a:defRPr sz="900">
                    <a:latin typeface="Abadi" panose="020B0604020104020204"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Analysis!$F$5:$F$15</c:f>
              <c:strCache>
                <c:ptCount val="11"/>
                <c:pt idx="0">
                  <c:v>Conveyor Belt Jam</c:v>
                </c:pt>
                <c:pt idx="1">
                  <c:v>Label Switch</c:v>
                </c:pt>
                <c:pt idx="2">
                  <c:v>Labeling Error</c:v>
                </c:pt>
                <c:pt idx="3">
                  <c:v>Calibration Error</c:v>
                </c:pt>
                <c:pt idx="4">
                  <c:v>Product Spill</c:v>
                </c:pt>
                <c:pt idx="5">
                  <c:v>Other</c:v>
                </c:pt>
                <c:pt idx="6">
                  <c:v>Batch Coding Error</c:v>
                </c:pt>
                <c:pt idx="7">
                  <c:v>Batch Change</c:v>
                </c:pt>
                <c:pt idx="8">
                  <c:v>Inventory Shortage</c:v>
                </c:pt>
                <c:pt idx="9">
                  <c:v>Machine Failure</c:v>
                </c:pt>
                <c:pt idx="10">
                  <c:v>Machine Adjustment</c:v>
                </c:pt>
              </c:strCache>
            </c:strRef>
          </c:cat>
          <c:val>
            <c:numRef>
              <c:f>Analysis!$H$5:$H$15</c:f>
              <c:numCache>
                <c:formatCode>[h]:mm:ss</c:formatCode>
                <c:ptCount val="11"/>
                <c:pt idx="1">
                  <c:v>2.2916666666666665E-2</c:v>
                </c:pt>
                <c:pt idx="3">
                  <c:v>3.4027777777777775E-2</c:v>
                </c:pt>
                <c:pt idx="4">
                  <c:v>3.9583333333333331E-2</c:v>
                </c:pt>
                <c:pt idx="6">
                  <c:v>0.10069444444444443</c:v>
                </c:pt>
                <c:pt idx="7">
                  <c:v>0.1111111111111111</c:v>
                </c:pt>
                <c:pt idx="10">
                  <c:v>0.23055555555555554</c:v>
                </c:pt>
              </c:numCache>
            </c:numRef>
          </c:val>
          <c:extLst>
            <c:ext xmlns:c16="http://schemas.microsoft.com/office/drawing/2014/chart" uri="{C3380CC4-5D6E-409C-BE32-E72D297353CC}">
              <c16:uniqueId val="{00000016-3FD7-4078-A7CD-37EC082203F7}"/>
            </c:ext>
          </c:extLst>
        </c:ser>
        <c:dLbls>
          <c:showLegendKey val="0"/>
          <c:showVal val="0"/>
          <c:showCatName val="0"/>
          <c:showSerName val="0"/>
          <c:showPercent val="0"/>
          <c:showBubbleSize val="0"/>
        </c:dLbls>
        <c:gapWidth val="10"/>
        <c:overlap val="100"/>
        <c:axId val="86843520"/>
        <c:axId val="86854560"/>
      </c:barChart>
      <c:catAx>
        <c:axId val="86843520"/>
        <c:scaling>
          <c:orientation val="minMax"/>
        </c:scaling>
        <c:delete val="0"/>
        <c:axPos val="l"/>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700" b="0" i="0" u="none" strike="noStrike" kern="1200" baseline="0">
                <a:solidFill>
                  <a:schemeClr val="tx1">
                    <a:lumMod val="95000"/>
                    <a:lumOff val="5000"/>
                  </a:schemeClr>
                </a:solidFill>
                <a:latin typeface="Arial" panose="020B0604020202020204" pitchFamily="34" charset="0"/>
                <a:ea typeface="+mn-ea"/>
                <a:cs typeface="Arial" panose="020B0604020202020204" pitchFamily="34" charset="0"/>
              </a:defRPr>
            </a:pPr>
            <a:endParaRPr lang="en-US"/>
          </a:p>
        </c:txPr>
        <c:crossAx val="86854560"/>
        <c:crosses val="autoZero"/>
        <c:auto val="1"/>
        <c:lblAlgn val="ctr"/>
        <c:lblOffset val="100"/>
        <c:noMultiLvlLbl val="0"/>
      </c:catAx>
      <c:valAx>
        <c:axId val="86854560"/>
        <c:scaling>
          <c:orientation val="minMax"/>
        </c:scaling>
        <c:delete val="1"/>
        <c:axPos val="t"/>
        <c:numFmt formatCode="[h]:mm:ss" sourceLinked="1"/>
        <c:majorTickMark val="none"/>
        <c:minorTickMark val="none"/>
        <c:tickLblPos val="nextTo"/>
        <c:crossAx val="86843520"/>
        <c:crosses val="max"/>
        <c:crossBetween val="between"/>
      </c:valAx>
      <c:spPr>
        <a:noFill/>
        <a:ln w="25400">
          <a:noFill/>
        </a:ln>
      </c:spPr>
    </c:plotArea>
    <c:legend>
      <c:legendPos val="b"/>
      <c:layout>
        <c:manualLayout>
          <c:xMode val="edge"/>
          <c:yMode val="edge"/>
          <c:x val="1.6344214419791463E-3"/>
          <c:y val="0.93503539867867447"/>
          <c:w val="0.15097776080288461"/>
          <c:h val="6.4964490422284318E-2"/>
        </c:manualLayout>
      </c:layout>
      <c:overlay val="0"/>
      <c:txPr>
        <a:bodyPr/>
        <a:lstStyle/>
        <a:p>
          <a:pPr>
            <a:defRPr sz="1200"/>
          </a:pPr>
          <a:endParaRPr lang="en-US"/>
        </a:p>
      </c:txPr>
    </c:legend>
    <c:plotVisOnly val="1"/>
    <c:dispBlanksAs val="gap"/>
    <c:showDLblsOverMax val="0"/>
    <c:extLst/>
  </c:chart>
  <c:spPr>
    <a:noFill/>
    <a:ln>
      <a:noFill/>
    </a:ln>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[Dasboard.xlsm]Analysis!PivotTable11</c:name>
    <c:fmtId val="8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FF5757"/>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85000"/>
                      <a:lumOff val="15000"/>
                    </a:schemeClr>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0189750018314559"/>
          <c:y val="4.1913430614295782E-2"/>
          <c:w val="0.67893687601184705"/>
          <c:h val="0.84631742108091546"/>
        </c:manualLayout>
      </c:layout>
      <c:barChart>
        <c:barDir val="bar"/>
        <c:grouping val="clustered"/>
        <c:varyColors val="0"/>
        <c:ser>
          <c:idx val="0"/>
          <c:order val="0"/>
          <c:tx>
            <c:strRef>
              <c:f>Analysis!$U$3</c:f>
              <c:strCache>
                <c:ptCount val="1"/>
                <c:pt idx="0">
                  <c:v>Total</c:v>
                </c:pt>
              </c:strCache>
            </c:strRef>
          </c:tx>
          <c:spPr>
            <a:solidFill>
              <a:srgbClr val="FF5757"/>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85000"/>
                        <a:lumOff val="15000"/>
                      </a:schemeClr>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Analysis!$T$4:$T$8</c:f>
              <c:strCache>
                <c:ptCount val="4"/>
                <c:pt idx="0">
                  <c:v>Dennis</c:v>
                </c:pt>
                <c:pt idx="1">
                  <c:v>Mac</c:v>
                </c:pt>
                <c:pt idx="2">
                  <c:v>Dee</c:v>
                </c:pt>
                <c:pt idx="3">
                  <c:v>Charlie</c:v>
                </c:pt>
              </c:strCache>
            </c:strRef>
          </c:cat>
          <c:val>
            <c:numRef>
              <c:f>Analysis!$U$4:$U$8</c:f>
              <c:numCache>
                <c:formatCode>[h]:mm:ss</c:formatCode>
                <c:ptCount val="4"/>
                <c:pt idx="0">
                  <c:v>0.20972222222222223</c:v>
                </c:pt>
                <c:pt idx="1">
                  <c:v>0.23055555555555557</c:v>
                </c:pt>
                <c:pt idx="2">
                  <c:v>0.25694444444444448</c:v>
                </c:pt>
                <c:pt idx="3">
                  <c:v>0.26666666666666666</c:v>
                </c:pt>
              </c:numCache>
            </c:numRef>
          </c:val>
          <c:extLst>
            <c:ext xmlns:c16="http://schemas.microsoft.com/office/drawing/2014/chart" uri="{C3380CC4-5D6E-409C-BE32-E72D297353CC}">
              <c16:uniqueId val="{00000004-9EF7-4B8A-8A75-C90D8E131EE1}"/>
            </c:ext>
          </c:extLst>
        </c:ser>
        <c:dLbls>
          <c:dLblPos val="outEnd"/>
          <c:showLegendKey val="0"/>
          <c:showVal val="1"/>
          <c:showCatName val="0"/>
          <c:showSerName val="0"/>
          <c:showPercent val="0"/>
          <c:showBubbleSize val="0"/>
        </c:dLbls>
        <c:gapWidth val="10"/>
        <c:overlap val="100"/>
        <c:axId val="153892783"/>
        <c:axId val="153896143"/>
      </c:barChart>
      <c:catAx>
        <c:axId val="153892783"/>
        <c:scaling>
          <c:orientation val="minMax"/>
        </c:scaling>
        <c:delete val="0"/>
        <c:axPos val="l"/>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153896143"/>
        <c:crosses val="autoZero"/>
        <c:auto val="1"/>
        <c:lblAlgn val="ctr"/>
        <c:lblOffset val="100"/>
        <c:noMultiLvlLbl val="0"/>
      </c:catAx>
      <c:valAx>
        <c:axId val="153896143"/>
        <c:scaling>
          <c:orientation val="minMax"/>
        </c:scaling>
        <c:delete val="1"/>
        <c:axPos val="b"/>
        <c:numFmt formatCode="[h]:mm:ss" sourceLinked="1"/>
        <c:majorTickMark val="none"/>
        <c:minorTickMark val="none"/>
        <c:tickLblPos val="nextTo"/>
        <c:crossAx val="15389278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[Dasboard.xlsm]Analysis!PivotTable12</c:name>
    <c:fmtId val="75"/>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100" b="1" i="0" u="none" strike="noStrike" kern="1200" baseline="0">
                  <a:solidFill>
                    <a:schemeClr val="bg2">
                      <a:lumMod val="50000"/>
                    </a:schemeClr>
                  </a:solidFill>
                  <a:latin typeface="Arial" panose="020B0604020202020204" pitchFamily="34" charset="0"/>
                  <a:ea typeface="+mn-ea"/>
                  <a:cs typeface="Arial" panose="020B0604020202020204"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FF8B8B"/>
          </a:solidFill>
          <a:ln w="127000">
            <a:solidFill>
              <a:srgbClr val="FF8B8B"/>
            </a:solidFill>
          </a:ln>
          <a:effectLst/>
        </c:spPr>
        <c:dLbl>
          <c:idx val="0"/>
          <c:layout>
            <c:manualLayout>
              <c:x val="-0.12337651436255616"/>
              <c:y val="8.3326160678934655E-2"/>
            </c:manualLayout>
          </c:layout>
          <c:spPr>
            <a:noFill/>
            <a:ln>
              <a:noFill/>
            </a:ln>
            <a:effectLst/>
          </c:spPr>
          <c:txPr>
            <a:bodyPr rot="0" spcFirstLastPara="1" vertOverflow="ellipsis" vert="horz" wrap="square" lIns="38100" tIns="19050" rIns="38100" bIns="19050" anchor="ctr" anchorCtr="0">
              <a:spAutoFit/>
            </a:bodyPr>
            <a:lstStyle/>
            <a:p>
              <a:pPr algn="ctr">
                <a:defRPr lang="en-US" sz="1100" b="1" i="0" u="none" strike="noStrike" kern="1200" baseline="0">
                  <a:solidFill>
                    <a:schemeClr val="bg2">
                      <a:lumMod val="50000"/>
                    </a:schemeClr>
                  </a:solidFill>
                  <a:latin typeface="Arial" panose="020B0604020202020204" pitchFamily="34" charset="0"/>
                  <a:ea typeface="+mn-ea"/>
                  <a:cs typeface="Arial" panose="020B0604020202020204"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FF5757"/>
          </a:solidFill>
          <a:ln w="127000">
            <a:solidFill>
              <a:srgbClr val="FF5757"/>
            </a:solidFill>
          </a:ln>
          <a:effectLst/>
        </c:spPr>
        <c:dLbl>
          <c:idx val="0"/>
          <c:layout>
            <c:manualLayout>
              <c:x val="0.22992307558007577"/>
              <c:y val="6.7877027038321866E-2"/>
            </c:manualLayout>
          </c:layout>
          <c:spPr>
            <a:noFill/>
            <a:ln>
              <a:noFill/>
            </a:ln>
            <a:effectLst/>
          </c:spPr>
          <c:txPr>
            <a:bodyPr rot="0" spcFirstLastPara="1" vertOverflow="ellipsis" vert="horz" wrap="square" lIns="38100" tIns="19050" rIns="38100" bIns="19050" anchor="ctr" anchorCtr="0">
              <a:spAutoFit/>
            </a:bodyPr>
            <a:lstStyle/>
            <a:p>
              <a:pPr algn="ctr">
                <a:defRPr lang="en-US" sz="1100" b="1" i="0" u="none" strike="noStrike" kern="1200" baseline="0">
                  <a:solidFill>
                    <a:schemeClr val="bg2">
                      <a:lumMod val="50000"/>
                    </a:schemeClr>
                  </a:solidFill>
                  <a:latin typeface="Arial" panose="020B0604020202020204" pitchFamily="34" charset="0"/>
                  <a:ea typeface="+mn-ea"/>
                  <a:cs typeface="Arial" panose="020B0604020202020204"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5756544511758644"/>
          <c:y val="0.30342047523011001"/>
          <c:w val="0.37843881488206438"/>
          <c:h val="0.55234965917970325"/>
        </c:manualLayout>
      </c:layout>
      <c:doughnutChart>
        <c:varyColors val="1"/>
        <c:ser>
          <c:idx val="0"/>
          <c:order val="0"/>
          <c:tx>
            <c:strRef>
              <c:f>Analysis!$Z$3</c:f>
              <c:strCache>
                <c:ptCount val="1"/>
                <c:pt idx="0">
                  <c:v>Total</c:v>
                </c:pt>
              </c:strCache>
            </c:strRef>
          </c:tx>
          <c:dPt>
            <c:idx val="0"/>
            <c:bubble3D val="0"/>
            <c:spPr>
              <a:solidFill>
                <a:srgbClr val="FF5757"/>
              </a:solidFill>
              <a:ln w="127000">
                <a:solidFill>
                  <a:srgbClr val="FF5757"/>
                </a:solidFill>
              </a:ln>
              <a:effectLst/>
            </c:spPr>
            <c:extLst>
              <c:ext xmlns:c16="http://schemas.microsoft.com/office/drawing/2014/chart" uri="{C3380CC4-5D6E-409C-BE32-E72D297353CC}">
                <c16:uniqueId val="{00000001-ADC8-41B0-8452-673808FDF33F}"/>
              </c:ext>
            </c:extLst>
          </c:dPt>
          <c:dPt>
            <c:idx val="1"/>
            <c:bubble3D val="0"/>
            <c:spPr>
              <a:solidFill>
                <a:srgbClr val="FF8B8B"/>
              </a:solidFill>
              <a:ln w="127000">
                <a:solidFill>
                  <a:srgbClr val="FF8B8B"/>
                </a:solidFill>
              </a:ln>
              <a:effectLst/>
            </c:spPr>
            <c:extLst>
              <c:ext xmlns:c16="http://schemas.microsoft.com/office/drawing/2014/chart" uri="{C3380CC4-5D6E-409C-BE32-E72D297353CC}">
                <c16:uniqueId val="{00000003-ADC8-41B0-8452-673808FDF33F}"/>
              </c:ext>
            </c:extLst>
          </c:dPt>
          <c:dLbls>
            <c:dLbl>
              <c:idx val="0"/>
              <c:layout>
                <c:manualLayout>
                  <c:x val="0.22992307558007577"/>
                  <c:y val="6.787702703832186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DC8-41B0-8452-673808FDF33F}"/>
                </c:ext>
              </c:extLst>
            </c:dLbl>
            <c:dLbl>
              <c:idx val="1"/>
              <c:layout>
                <c:manualLayout>
                  <c:x val="-0.12337651436255616"/>
                  <c:y val="8.332616067893465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DC8-41B0-8452-673808FDF33F}"/>
                </c:ext>
              </c:extLst>
            </c:dLbl>
            <c:spPr>
              <a:noFill/>
              <a:ln>
                <a:noFill/>
              </a:ln>
              <a:effectLst/>
            </c:spPr>
            <c:txPr>
              <a:bodyPr rot="0" spcFirstLastPara="1" vertOverflow="ellipsis" vert="horz" wrap="square" lIns="38100" tIns="19050" rIns="38100" bIns="19050" anchor="ctr" anchorCtr="0">
                <a:spAutoFit/>
              </a:bodyPr>
              <a:lstStyle/>
              <a:p>
                <a:pPr algn="ctr">
                  <a:defRPr lang="en-US" sz="1100" b="1" i="0" u="none" strike="noStrike" kern="1200" baseline="0">
                    <a:solidFill>
                      <a:schemeClr val="bg2">
                        <a:lumMod val="50000"/>
                      </a:schemeClr>
                    </a:solidFill>
                    <a:latin typeface="Arial" panose="020B0604020202020204" pitchFamily="34" charset="0"/>
                    <a:ea typeface="+mn-ea"/>
                    <a:cs typeface="Arial" panose="020B0604020202020204" pitchFamily="34" charset="0"/>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Analysis!$Y$4:$Y$6</c:f>
              <c:strCache>
                <c:ptCount val="2"/>
                <c:pt idx="0">
                  <c:v>Yes</c:v>
                </c:pt>
                <c:pt idx="1">
                  <c:v>No</c:v>
                </c:pt>
              </c:strCache>
            </c:strRef>
          </c:cat>
          <c:val>
            <c:numRef>
              <c:f>Analysis!$Z$4:$Z$6</c:f>
              <c:numCache>
                <c:formatCode>0.00%</c:formatCode>
                <c:ptCount val="2"/>
                <c:pt idx="0">
                  <c:v>0.55907780979827093</c:v>
                </c:pt>
                <c:pt idx="1">
                  <c:v>0.44092219020172918</c:v>
                </c:pt>
              </c:numCache>
            </c:numRef>
          </c:val>
          <c:extLst>
            <c:ext xmlns:c16="http://schemas.microsoft.com/office/drawing/2014/chart" uri="{C3380CC4-5D6E-409C-BE32-E72D297353CC}">
              <c16:uniqueId val="{00000007-5E16-4744-914D-5F35710F3301}"/>
            </c:ext>
          </c:extLst>
        </c:ser>
        <c:dLbls>
          <c:showLegendKey val="0"/>
          <c:showVal val="0"/>
          <c:showCatName val="0"/>
          <c:showSerName val="0"/>
          <c:showPercent val="0"/>
          <c:showBubbleSize val="0"/>
          <c:showLeaderLines val="1"/>
        </c:dLbls>
        <c:firstSliceAng val="0"/>
        <c:holeSize val="9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[Dasboard.xlsm]Analysis!PivotTable9</c:name>
    <c:fmtId val="40"/>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C0C0C0"/>
          </a:solidFill>
          <a:ln w="73025">
            <a:solidFill>
              <a:srgbClr val="C0C0C0"/>
            </a:solidFill>
          </a:ln>
          <a:effectLst/>
        </c:spPr>
      </c:pivotFmt>
      <c:pivotFmt>
        <c:idx val="6"/>
        <c:spPr>
          <a:solidFill>
            <a:srgbClr val="FF5757"/>
          </a:solidFill>
          <a:ln w="34925">
            <a:solidFill>
              <a:srgbClr val="FF5757"/>
            </a:solidFill>
          </a:ln>
          <a:effectLst/>
        </c:spPr>
      </c:pivotFmt>
    </c:pivotFmts>
    <c:plotArea>
      <c:layout/>
      <c:doughnutChart>
        <c:varyColors val="1"/>
        <c:ser>
          <c:idx val="0"/>
          <c:order val="0"/>
          <c:tx>
            <c:strRef>
              <c:f>Analysis!$D$11</c:f>
              <c:strCache>
                <c:ptCount val="1"/>
                <c:pt idx="0">
                  <c:v>Total</c:v>
                </c:pt>
              </c:strCache>
            </c:strRef>
          </c:tx>
          <c:dPt>
            <c:idx val="0"/>
            <c:bubble3D val="0"/>
            <c:spPr>
              <a:solidFill>
                <a:srgbClr val="C0C0C0"/>
              </a:solidFill>
              <a:ln w="73025">
                <a:solidFill>
                  <a:srgbClr val="C0C0C0"/>
                </a:solidFill>
              </a:ln>
              <a:effectLst/>
            </c:spPr>
            <c:extLst>
              <c:ext xmlns:c16="http://schemas.microsoft.com/office/drawing/2014/chart" uri="{C3380CC4-5D6E-409C-BE32-E72D297353CC}">
                <c16:uniqueId val="{00000001-260F-48AC-BDDF-29129E668386}"/>
              </c:ext>
            </c:extLst>
          </c:dPt>
          <c:dPt>
            <c:idx val="1"/>
            <c:bubble3D val="0"/>
            <c:spPr>
              <a:solidFill>
                <a:srgbClr val="FF5757"/>
              </a:solidFill>
              <a:ln w="34925">
                <a:solidFill>
                  <a:srgbClr val="FF5757"/>
                </a:solidFill>
              </a:ln>
              <a:effectLst/>
            </c:spPr>
            <c:extLst>
              <c:ext xmlns:c16="http://schemas.microsoft.com/office/drawing/2014/chart" uri="{C3380CC4-5D6E-409C-BE32-E72D297353CC}">
                <c16:uniqueId val="{00000003-260F-48AC-BDDF-29129E668386}"/>
              </c:ext>
            </c:extLst>
          </c:dPt>
          <c:cat>
            <c:strRef>
              <c:f>Analysis!$C$12:$C$13</c:f>
              <c:strCache>
                <c:ptCount val="2"/>
                <c:pt idx="0">
                  <c:v>Line Eff %</c:v>
                </c:pt>
                <c:pt idx="1">
                  <c:v>Line ineff %</c:v>
                </c:pt>
              </c:strCache>
            </c:strRef>
          </c:cat>
          <c:val>
            <c:numRef>
              <c:f>Analysis!$D$12:$D$13</c:f>
              <c:numCache>
                <c:formatCode>0%</c:formatCode>
                <c:ptCount val="2"/>
                <c:pt idx="0">
                  <c:v>0.64022809745982368</c:v>
                </c:pt>
                <c:pt idx="1">
                  <c:v>0.3597719025401761</c:v>
                </c:pt>
              </c:numCache>
            </c:numRef>
          </c:val>
          <c:extLst>
            <c:ext xmlns:c16="http://schemas.microsoft.com/office/drawing/2014/chart" uri="{C3380CC4-5D6E-409C-BE32-E72D297353CC}">
              <c16:uniqueId val="{00000004-260F-48AC-BDDF-29129E668386}"/>
            </c:ext>
          </c:extLst>
        </c:ser>
        <c:dLbls>
          <c:showLegendKey val="0"/>
          <c:showVal val="0"/>
          <c:showCatName val="0"/>
          <c:showSerName val="0"/>
          <c:showPercent val="0"/>
          <c:showBubbleSize val="0"/>
          <c:showLeaderLines val="1"/>
        </c:dLbls>
        <c:firstSliceAng val="0"/>
        <c:holeSize val="9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[Dasboard.xlsm]Analysis!PivotTable8</c:name>
    <c:fmtId val="45"/>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FF5757"/>
          </a:solidFill>
          <a:ln w="73025">
            <a:solidFill>
              <a:srgbClr val="FF5757"/>
            </a:solidFill>
          </a:ln>
          <a:effectLst/>
        </c:spPr>
      </c:pivotFmt>
      <c:pivotFmt>
        <c:idx val="6"/>
        <c:spPr>
          <a:solidFill>
            <a:srgbClr val="C0C0C0"/>
          </a:solidFill>
          <a:ln w="34925">
            <a:solidFill>
              <a:srgbClr val="C0C0C0"/>
            </a:solidFill>
          </a:ln>
          <a:effectLst/>
        </c:spPr>
      </c:pivotFmt>
    </c:pivotFmts>
    <c:plotArea>
      <c:layout/>
      <c:doughnutChart>
        <c:varyColors val="1"/>
        <c:ser>
          <c:idx val="0"/>
          <c:order val="0"/>
          <c:tx>
            <c:strRef>
              <c:f>Analysis!$D$3</c:f>
              <c:strCache>
                <c:ptCount val="1"/>
                <c:pt idx="0">
                  <c:v>Total</c:v>
                </c:pt>
              </c:strCache>
            </c:strRef>
          </c:tx>
          <c:dPt>
            <c:idx val="0"/>
            <c:bubble3D val="0"/>
            <c:spPr>
              <a:solidFill>
                <a:srgbClr val="FF5757"/>
              </a:solidFill>
              <a:ln w="73025">
                <a:solidFill>
                  <a:srgbClr val="FF5757"/>
                </a:solidFill>
              </a:ln>
              <a:effectLst/>
            </c:spPr>
            <c:extLst>
              <c:ext xmlns:c16="http://schemas.microsoft.com/office/drawing/2014/chart" uri="{C3380CC4-5D6E-409C-BE32-E72D297353CC}">
                <c16:uniqueId val="{00000001-448A-48B6-93D3-F328F33C44B8}"/>
              </c:ext>
            </c:extLst>
          </c:dPt>
          <c:dPt>
            <c:idx val="1"/>
            <c:bubble3D val="0"/>
            <c:spPr>
              <a:solidFill>
                <a:srgbClr val="C0C0C0"/>
              </a:solidFill>
              <a:ln w="34925">
                <a:solidFill>
                  <a:srgbClr val="C0C0C0"/>
                </a:solidFill>
              </a:ln>
              <a:effectLst/>
            </c:spPr>
            <c:extLst>
              <c:ext xmlns:c16="http://schemas.microsoft.com/office/drawing/2014/chart" uri="{C3380CC4-5D6E-409C-BE32-E72D297353CC}">
                <c16:uniqueId val="{00000003-448A-48B6-93D3-F328F33C44B8}"/>
              </c:ext>
            </c:extLst>
          </c:dPt>
          <c:cat>
            <c:strRef>
              <c:f>Analysis!$C$4:$C$5</c:f>
              <c:strCache>
                <c:ptCount val="2"/>
                <c:pt idx="0">
                  <c:v>Line ineff %</c:v>
                </c:pt>
                <c:pt idx="1">
                  <c:v>Line Eff %</c:v>
                </c:pt>
              </c:strCache>
            </c:strRef>
          </c:cat>
          <c:val>
            <c:numRef>
              <c:f>Analysis!$D$4:$D$5</c:f>
              <c:numCache>
                <c:formatCode>0%</c:formatCode>
                <c:ptCount val="2"/>
                <c:pt idx="0">
                  <c:v>0.3597719025401761</c:v>
                </c:pt>
                <c:pt idx="1">
                  <c:v>0.64022809745982368</c:v>
                </c:pt>
              </c:numCache>
            </c:numRef>
          </c:val>
          <c:extLst>
            <c:ext xmlns:c16="http://schemas.microsoft.com/office/drawing/2014/chart" uri="{C3380CC4-5D6E-409C-BE32-E72D297353CC}">
              <c16:uniqueId val="{00000004-448A-48B6-93D3-F328F33C44B8}"/>
            </c:ext>
          </c:extLst>
        </c:ser>
        <c:dLbls>
          <c:showLegendKey val="0"/>
          <c:showVal val="0"/>
          <c:showCatName val="0"/>
          <c:showSerName val="0"/>
          <c:showPercent val="0"/>
          <c:showBubbleSize val="0"/>
          <c:showLeaderLines val="1"/>
        </c:dLbls>
        <c:firstSliceAng val="0"/>
        <c:holeSize val="9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7.xml"/><Relationship Id="rId3" Type="http://schemas.openxmlformats.org/officeDocument/2006/relationships/chart" Target="../charts/chart3.xml"/><Relationship Id="rId7" Type="http://schemas.openxmlformats.org/officeDocument/2006/relationships/chart" Target="../charts/chart6.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5.xml"/><Relationship Id="rId11" Type="http://schemas.openxmlformats.org/officeDocument/2006/relationships/image" Target="../media/image3.svg"/><Relationship Id="rId5" Type="http://schemas.openxmlformats.org/officeDocument/2006/relationships/image" Target="../media/image1.png"/><Relationship Id="rId10" Type="http://schemas.openxmlformats.org/officeDocument/2006/relationships/image" Target="../media/image2.png"/><Relationship Id="rId4" Type="http://schemas.openxmlformats.org/officeDocument/2006/relationships/chart" Target="../charts/chart4.xml"/><Relationship Id="rId9"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37</xdr:col>
      <xdr:colOff>78684</xdr:colOff>
      <xdr:row>27</xdr:row>
      <xdr:rowOff>78684</xdr:rowOff>
    </xdr:from>
    <xdr:to>
      <xdr:col>59</xdr:col>
      <xdr:colOff>462594</xdr:colOff>
      <xdr:row>72</xdr:row>
      <xdr:rowOff>135492</xdr:rowOff>
    </xdr:to>
    <xdr:grpSp>
      <xdr:nvGrpSpPr>
        <xdr:cNvPr id="62" name="Group 61">
          <a:extLst>
            <a:ext uri="{FF2B5EF4-FFF2-40B4-BE49-F238E27FC236}">
              <a16:creationId xmlns:a16="http://schemas.microsoft.com/office/drawing/2014/main" id="{8A6B9E84-183D-FFBD-E31F-124DFBBFE406}"/>
            </a:ext>
          </a:extLst>
        </xdr:cNvPr>
        <xdr:cNvGrpSpPr/>
      </xdr:nvGrpSpPr>
      <xdr:grpSpPr>
        <a:xfrm>
          <a:off x="22633884" y="5050734"/>
          <a:ext cx="13795110" cy="8343558"/>
          <a:chOff x="4674728" y="1045739"/>
          <a:chExt cx="14641972" cy="8231609"/>
        </a:xfrm>
      </xdr:grpSpPr>
      <xdr:sp macro="" textlink="">
        <xdr:nvSpPr>
          <xdr:cNvPr id="69" name="Rectangle: Rounded Corners 68">
            <a:extLst>
              <a:ext uri="{FF2B5EF4-FFF2-40B4-BE49-F238E27FC236}">
                <a16:creationId xmlns:a16="http://schemas.microsoft.com/office/drawing/2014/main" id="{2D972BB1-4B2D-9D23-2303-1282608E7345}"/>
              </a:ext>
            </a:extLst>
          </xdr:cNvPr>
          <xdr:cNvSpPr/>
        </xdr:nvSpPr>
        <xdr:spPr>
          <a:xfrm>
            <a:off x="4681537" y="1047748"/>
            <a:ext cx="14630400" cy="8229600"/>
          </a:xfrm>
          <a:prstGeom prst="roundRect">
            <a:avLst>
              <a:gd name="adj" fmla="val 1455"/>
            </a:avLst>
          </a:prstGeom>
          <a:solidFill>
            <a:srgbClr val="182334"/>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0" name="Rectangle: Rounded Corners 69">
            <a:extLst>
              <a:ext uri="{FF2B5EF4-FFF2-40B4-BE49-F238E27FC236}">
                <a16:creationId xmlns:a16="http://schemas.microsoft.com/office/drawing/2014/main" id="{EC09AB2C-1257-CEAD-4FBC-1918FFFC9B8D}"/>
              </a:ext>
            </a:extLst>
          </xdr:cNvPr>
          <xdr:cNvSpPr/>
        </xdr:nvSpPr>
        <xdr:spPr>
          <a:xfrm>
            <a:off x="4686300" y="1045739"/>
            <a:ext cx="14630400" cy="654461"/>
          </a:xfrm>
          <a:prstGeom prst="roundRect">
            <a:avLst>
              <a:gd name="adj" fmla="val 11998"/>
            </a:avLst>
          </a:prstGeom>
          <a:solidFill>
            <a:srgbClr val="EFEFE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1" name="Rectangle: Rounded Corners 70">
            <a:extLst>
              <a:ext uri="{FF2B5EF4-FFF2-40B4-BE49-F238E27FC236}">
                <a16:creationId xmlns:a16="http://schemas.microsoft.com/office/drawing/2014/main" id="{159928CF-8CBF-34D2-11C2-E028CEDE327E}"/>
              </a:ext>
            </a:extLst>
          </xdr:cNvPr>
          <xdr:cNvSpPr/>
        </xdr:nvSpPr>
        <xdr:spPr>
          <a:xfrm>
            <a:off x="4674728" y="1049869"/>
            <a:ext cx="1723953" cy="8227473"/>
          </a:xfrm>
          <a:prstGeom prst="roundRect">
            <a:avLst>
              <a:gd name="adj" fmla="val 5422"/>
            </a:avLst>
          </a:prstGeom>
          <a:solidFill>
            <a:srgbClr val="EFEFEF"/>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39</xdr:col>
      <xdr:colOff>632195</xdr:colOff>
      <xdr:row>27</xdr:row>
      <xdr:rowOff>121065</xdr:rowOff>
    </xdr:from>
    <xdr:to>
      <xdr:col>44</xdr:col>
      <xdr:colOff>247454</xdr:colOff>
      <xdr:row>30</xdr:row>
      <xdr:rowOff>178120</xdr:rowOff>
    </xdr:to>
    <xdr:sp macro="" textlink="">
      <xdr:nvSpPr>
        <xdr:cNvPr id="31" name="TextBox 30">
          <a:extLst>
            <a:ext uri="{FF2B5EF4-FFF2-40B4-BE49-F238E27FC236}">
              <a16:creationId xmlns:a16="http://schemas.microsoft.com/office/drawing/2014/main" id="{D508710A-5DF6-B530-88BF-EAC285D52F5F}"/>
            </a:ext>
          </a:extLst>
        </xdr:cNvPr>
        <xdr:cNvSpPr txBox="1"/>
      </xdr:nvSpPr>
      <xdr:spPr>
        <a:xfrm>
          <a:off x="25827891" y="5040935"/>
          <a:ext cx="2845476" cy="603707"/>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r>
            <a:rPr lang="en-US" sz="1200" b="0" i="0" u="none" strike="noStrike">
              <a:solidFill>
                <a:schemeClr val="tx1">
                  <a:lumMod val="75000"/>
                  <a:lumOff val="25000"/>
                </a:schemeClr>
              </a:solidFill>
              <a:latin typeface="Arial" panose="020B0604020202020204" pitchFamily="34" charset="0"/>
              <a:ea typeface="Calibri"/>
              <a:cs typeface="Arial" panose="020B0604020202020204" pitchFamily="34" charset="0"/>
            </a:rPr>
            <a:t>MANUFACTURING</a:t>
          </a:r>
          <a:r>
            <a:rPr lang="en-US" sz="1200" b="1" i="0" u="none" strike="noStrike">
              <a:solidFill>
                <a:schemeClr val="tx1">
                  <a:lumMod val="75000"/>
                  <a:lumOff val="25000"/>
                </a:schemeClr>
              </a:solidFill>
              <a:latin typeface="Arial" panose="020B0604020202020204" pitchFamily="34" charset="0"/>
              <a:ea typeface="Calibri"/>
              <a:cs typeface="Arial" panose="020B0604020202020204" pitchFamily="34" charset="0"/>
            </a:rPr>
            <a:t> </a:t>
          </a:r>
        </a:p>
        <a:p>
          <a:pPr marL="0" indent="0" algn="l"/>
          <a:r>
            <a:rPr lang="en-US" sz="1800" b="1" i="0" u="none" strike="noStrike">
              <a:solidFill>
                <a:schemeClr val="tx1">
                  <a:lumMod val="75000"/>
                  <a:lumOff val="25000"/>
                </a:schemeClr>
              </a:solidFill>
              <a:latin typeface="Arial" panose="020B0604020202020204" pitchFamily="34" charset="0"/>
              <a:ea typeface="Calibri"/>
              <a:cs typeface="Arial" panose="020B0604020202020204" pitchFamily="34" charset="0"/>
            </a:rPr>
            <a:t>DOWNTIME ANALYSIS</a:t>
          </a:r>
        </a:p>
      </xdr:txBody>
    </xdr:sp>
    <xdr:clientData/>
  </xdr:twoCellAnchor>
  <xdr:twoCellAnchor>
    <xdr:from>
      <xdr:col>40</xdr:col>
      <xdr:colOff>37736</xdr:colOff>
      <xdr:row>39</xdr:row>
      <xdr:rowOff>12111</xdr:rowOff>
    </xdr:from>
    <xdr:to>
      <xdr:col>49</xdr:col>
      <xdr:colOff>122970</xdr:colOff>
      <xdr:row>50</xdr:row>
      <xdr:rowOff>138595</xdr:rowOff>
    </xdr:to>
    <xdr:grpSp>
      <xdr:nvGrpSpPr>
        <xdr:cNvPr id="124" name="Group 123">
          <a:extLst>
            <a:ext uri="{FF2B5EF4-FFF2-40B4-BE49-F238E27FC236}">
              <a16:creationId xmlns:a16="http://schemas.microsoft.com/office/drawing/2014/main" id="{3EFDDB05-1445-A220-356B-DA924E415731}"/>
            </a:ext>
          </a:extLst>
        </xdr:cNvPr>
        <xdr:cNvGrpSpPr/>
      </xdr:nvGrpSpPr>
      <xdr:grpSpPr>
        <a:xfrm>
          <a:off x="24421736" y="7193961"/>
          <a:ext cx="5571634" cy="2152134"/>
          <a:chOff x="26578133" y="7152984"/>
          <a:chExt cx="5918069" cy="1828800"/>
        </a:xfrm>
      </xdr:grpSpPr>
      <xdr:grpSp>
        <xdr:nvGrpSpPr>
          <xdr:cNvPr id="111" name="Group 110">
            <a:extLst>
              <a:ext uri="{FF2B5EF4-FFF2-40B4-BE49-F238E27FC236}">
                <a16:creationId xmlns:a16="http://schemas.microsoft.com/office/drawing/2014/main" id="{E806A21B-EDC9-D774-E201-7F96062A2936}"/>
              </a:ext>
            </a:extLst>
          </xdr:cNvPr>
          <xdr:cNvGrpSpPr/>
        </xdr:nvGrpSpPr>
        <xdr:grpSpPr>
          <a:xfrm>
            <a:off x="26578133" y="7152984"/>
            <a:ext cx="2927143" cy="1828800"/>
            <a:chOff x="26590990" y="7497647"/>
            <a:chExt cx="2927143" cy="1828800"/>
          </a:xfrm>
        </xdr:grpSpPr>
        <xdr:sp macro="" textlink="">
          <xdr:nvSpPr>
            <xdr:cNvPr id="107" name="Rectangle: Rounded Corners 106">
              <a:extLst>
                <a:ext uri="{FF2B5EF4-FFF2-40B4-BE49-F238E27FC236}">
                  <a16:creationId xmlns:a16="http://schemas.microsoft.com/office/drawing/2014/main" id="{00AFA3FC-E39C-C67E-7BAF-2EEAB4C942D2}"/>
                </a:ext>
              </a:extLst>
            </xdr:cNvPr>
            <xdr:cNvSpPr/>
          </xdr:nvSpPr>
          <xdr:spPr>
            <a:xfrm>
              <a:off x="26591521" y="7497647"/>
              <a:ext cx="2926080" cy="1828800"/>
            </a:xfrm>
            <a:prstGeom prst="roundRect">
              <a:avLst>
                <a:gd name="adj" fmla="val 2170"/>
              </a:avLst>
            </a:prstGeom>
            <a:solidFill>
              <a:srgbClr val="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24" name="Chart 23">
              <a:extLst>
                <a:ext uri="{FF2B5EF4-FFF2-40B4-BE49-F238E27FC236}">
                  <a16:creationId xmlns:a16="http://schemas.microsoft.com/office/drawing/2014/main" id="{B37F86E3-E0BA-45DB-A559-65F64BB4CAB4}"/>
                </a:ext>
              </a:extLst>
            </xdr:cNvPr>
            <xdr:cNvGraphicFramePr>
              <a:graphicFrameLocks noChangeAspect="1"/>
            </xdr:cNvGraphicFramePr>
          </xdr:nvGraphicFramePr>
          <xdr:xfrm>
            <a:off x="26590990" y="7497647"/>
            <a:ext cx="2927143" cy="1828800"/>
          </xdr:xfrm>
          <a:graphic>
            <a:graphicData uri="http://schemas.openxmlformats.org/drawingml/2006/chart">
              <c:chart xmlns:c="http://schemas.openxmlformats.org/drawingml/2006/chart" xmlns:r="http://schemas.openxmlformats.org/officeDocument/2006/relationships" r:id="rId1"/>
            </a:graphicData>
          </a:graphic>
        </xdr:graphicFrame>
      </xdr:grpSp>
      <xdr:grpSp>
        <xdr:nvGrpSpPr>
          <xdr:cNvPr id="112" name="Group 111">
            <a:extLst>
              <a:ext uri="{FF2B5EF4-FFF2-40B4-BE49-F238E27FC236}">
                <a16:creationId xmlns:a16="http://schemas.microsoft.com/office/drawing/2014/main" id="{7D2F00C3-E9B3-20BC-7D7F-8A9B78C16E1C}"/>
              </a:ext>
            </a:extLst>
          </xdr:cNvPr>
          <xdr:cNvGrpSpPr/>
        </xdr:nvGrpSpPr>
        <xdr:grpSpPr>
          <a:xfrm>
            <a:off x="29570122" y="7152984"/>
            <a:ext cx="2926080" cy="1828800"/>
            <a:chOff x="29574329" y="7597817"/>
            <a:chExt cx="2926080" cy="1828800"/>
          </a:xfrm>
        </xdr:grpSpPr>
        <xdr:sp macro="" textlink="">
          <xdr:nvSpPr>
            <xdr:cNvPr id="109" name="Rectangle: Rounded Corners 108">
              <a:extLst>
                <a:ext uri="{FF2B5EF4-FFF2-40B4-BE49-F238E27FC236}">
                  <a16:creationId xmlns:a16="http://schemas.microsoft.com/office/drawing/2014/main" id="{4BC6900F-EF21-48C7-9791-4B99CFDDA18C}"/>
                </a:ext>
              </a:extLst>
            </xdr:cNvPr>
            <xdr:cNvSpPr/>
          </xdr:nvSpPr>
          <xdr:spPr>
            <a:xfrm>
              <a:off x="29574329" y="7597817"/>
              <a:ext cx="2926080" cy="1828800"/>
            </a:xfrm>
            <a:prstGeom prst="roundRect">
              <a:avLst>
                <a:gd name="adj" fmla="val 2170"/>
              </a:avLst>
            </a:prstGeom>
            <a:solidFill>
              <a:srgbClr val="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39" name="Chart 38">
              <a:extLst>
                <a:ext uri="{FF2B5EF4-FFF2-40B4-BE49-F238E27FC236}">
                  <a16:creationId xmlns:a16="http://schemas.microsoft.com/office/drawing/2014/main" id="{CD7E73BA-8299-47DE-9AA5-74820F8B6A25}"/>
                </a:ext>
              </a:extLst>
            </xdr:cNvPr>
            <xdr:cNvGraphicFramePr>
              <a:graphicFrameLocks noChangeAspect="1"/>
            </xdr:cNvGraphicFramePr>
          </xdr:nvGraphicFramePr>
          <xdr:xfrm>
            <a:off x="29574329" y="7620970"/>
            <a:ext cx="2926080" cy="1782495"/>
          </xdr:xfrm>
          <a:graphic>
            <a:graphicData uri="http://schemas.openxmlformats.org/drawingml/2006/chart">
              <c:chart xmlns:c="http://schemas.openxmlformats.org/drawingml/2006/chart" xmlns:r="http://schemas.openxmlformats.org/officeDocument/2006/relationships" r:id="rId2"/>
            </a:graphicData>
          </a:graphic>
        </xdr:graphicFrame>
      </xdr:grpSp>
    </xdr:grpSp>
    <xdr:clientData/>
  </xdr:twoCellAnchor>
  <xdr:twoCellAnchor>
    <xdr:from>
      <xdr:col>49</xdr:col>
      <xdr:colOff>579783</xdr:colOff>
      <xdr:row>51</xdr:row>
      <xdr:rowOff>24848</xdr:rowOff>
    </xdr:from>
    <xdr:to>
      <xdr:col>59</xdr:col>
      <xdr:colOff>306457</xdr:colOff>
      <xdr:row>72</xdr:row>
      <xdr:rowOff>45555</xdr:rowOff>
    </xdr:to>
    <xdr:grpSp>
      <xdr:nvGrpSpPr>
        <xdr:cNvPr id="120" name="Group 119">
          <a:extLst>
            <a:ext uri="{FF2B5EF4-FFF2-40B4-BE49-F238E27FC236}">
              <a16:creationId xmlns:a16="http://schemas.microsoft.com/office/drawing/2014/main" id="{3B4FC409-34D0-A86D-5743-10BD38D6437E}"/>
            </a:ext>
          </a:extLst>
        </xdr:cNvPr>
        <xdr:cNvGrpSpPr/>
      </xdr:nvGrpSpPr>
      <xdr:grpSpPr>
        <a:xfrm>
          <a:off x="30450183" y="9416498"/>
          <a:ext cx="5822674" cy="3887857"/>
          <a:chOff x="31196830" y="9407165"/>
          <a:chExt cx="5891752" cy="3903286"/>
        </a:xfrm>
      </xdr:grpSpPr>
      <xdr:sp macro="" textlink="">
        <xdr:nvSpPr>
          <xdr:cNvPr id="119" name="Rectangle: Rounded Corners 118">
            <a:extLst>
              <a:ext uri="{FF2B5EF4-FFF2-40B4-BE49-F238E27FC236}">
                <a16:creationId xmlns:a16="http://schemas.microsoft.com/office/drawing/2014/main" id="{A55E2832-2685-B6C3-1B2C-6120BDE3F309}"/>
              </a:ext>
            </a:extLst>
          </xdr:cNvPr>
          <xdr:cNvSpPr/>
        </xdr:nvSpPr>
        <xdr:spPr>
          <a:xfrm>
            <a:off x="31196830" y="9412075"/>
            <a:ext cx="5891752" cy="3893467"/>
          </a:xfrm>
          <a:prstGeom prst="roundRect">
            <a:avLst>
              <a:gd name="adj" fmla="val 1156"/>
            </a:avLst>
          </a:prstGeom>
          <a:solidFill>
            <a:srgbClr val="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6" name="Chart 5">
            <a:extLst>
              <a:ext uri="{FF2B5EF4-FFF2-40B4-BE49-F238E27FC236}">
                <a16:creationId xmlns:a16="http://schemas.microsoft.com/office/drawing/2014/main" id="{0844678D-F51A-46B9-B163-361A405A9B4C}"/>
              </a:ext>
            </a:extLst>
          </xdr:cNvPr>
          <xdr:cNvGraphicFramePr>
            <a:graphicFrameLocks noChangeAspect="1"/>
          </xdr:cNvGraphicFramePr>
        </xdr:nvGraphicFramePr>
        <xdr:xfrm>
          <a:off x="31204195" y="9407165"/>
          <a:ext cx="5877023" cy="3903286"/>
        </xdr:xfrm>
        <a:graphic>
          <a:graphicData uri="http://schemas.openxmlformats.org/drawingml/2006/chart">
            <c:chart xmlns:c="http://schemas.openxmlformats.org/drawingml/2006/chart" xmlns:r="http://schemas.openxmlformats.org/officeDocument/2006/relationships" r:id="rId3"/>
          </a:graphicData>
        </a:graphic>
      </xdr:graphicFrame>
    </xdr:grpSp>
    <xdr:clientData/>
  </xdr:twoCellAnchor>
  <xdr:twoCellAnchor>
    <xdr:from>
      <xdr:col>40</xdr:col>
      <xdr:colOff>10403</xdr:colOff>
      <xdr:row>51</xdr:row>
      <xdr:rowOff>45555</xdr:rowOff>
    </xdr:from>
    <xdr:to>
      <xdr:col>49</xdr:col>
      <xdr:colOff>525946</xdr:colOff>
      <xdr:row>72</xdr:row>
      <xdr:rowOff>53838</xdr:rowOff>
    </xdr:to>
    <xdr:sp macro="" textlink="">
      <xdr:nvSpPr>
        <xdr:cNvPr id="122" name="Rectangle: Rounded Corners 121">
          <a:extLst>
            <a:ext uri="{FF2B5EF4-FFF2-40B4-BE49-F238E27FC236}">
              <a16:creationId xmlns:a16="http://schemas.microsoft.com/office/drawing/2014/main" id="{AF0A99FA-513D-48BD-BA0D-65BBDEE2C94D}"/>
            </a:ext>
          </a:extLst>
        </xdr:cNvPr>
        <xdr:cNvSpPr/>
      </xdr:nvSpPr>
      <xdr:spPr>
        <a:xfrm>
          <a:off x="25852142" y="9338642"/>
          <a:ext cx="6329934" cy="3834848"/>
        </a:xfrm>
        <a:prstGeom prst="roundRect">
          <a:avLst>
            <a:gd name="adj" fmla="val 1156"/>
          </a:avLst>
        </a:prstGeom>
        <a:solidFill>
          <a:srgbClr val="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40</xdr:col>
      <xdr:colOff>240195</xdr:colOff>
      <xdr:row>53</xdr:row>
      <xdr:rowOff>28989</xdr:rowOff>
    </xdr:from>
    <xdr:to>
      <xdr:col>49</xdr:col>
      <xdr:colOff>503463</xdr:colOff>
      <xdr:row>71</xdr:row>
      <xdr:rowOff>4141</xdr:rowOff>
    </xdr:to>
    <xdr:graphicFrame macro="">
      <xdr:nvGraphicFramePr>
        <xdr:cNvPr id="10" name="Chart 9">
          <a:extLst>
            <a:ext uri="{FF2B5EF4-FFF2-40B4-BE49-F238E27FC236}">
              <a16:creationId xmlns:a16="http://schemas.microsoft.com/office/drawing/2014/main" id="{68CC727B-DDDE-4981-B3C4-DB4EC83298FE}"/>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48</xdr:col>
      <xdr:colOff>33307</xdr:colOff>
      <xdr:row>28</xdr:row>
      <xdr:rowOff>98505</xdr:rowOff>
    </xdr:from>
    <xdr:to>
      <xdr:col>52</xdr:col>
      <xdr:colOff>230286</xdr:colOff>
      <xdr:row>30</xdr:row>
      <xdr:rowOff>118383</xdr:rowOff>
    </xdr:to>
    <xdr:sp macro="" textlink="Analysis!P33">
      <xdr:nvSpPr>
        <xdr:cNvPr id="126" name="TextBox 125">
          <a:extLst>
            <a:ext uri="{FF2B5EF4-FFF2-40B4-BE49-F238E27FC236}">
              <a16:creationId xmlns:a16="http://schemas.microsoft.com/office/drawing/2014/main" id="{365C34BB-B76E-490B-BF87-E70D48FC5084}"/>
            </a:ext>
          </a:extLst>
        </xdr:cNvPr>
        <xdr:cNvSpPr txBox="1"/>
      </xdr:nvSpPr>
      <xdr:spPr>
        <a:xfrm>
          <a:off x="29424736" y="5178505"/>
          <a:ext cx="2646264" cy="382735"/>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77DF1C01-9C5A-4BEC-8AE9-90838E69124A}" type="TxLink">
            <a:rPr lang="en-US" sz="1200" b="1" i="0" u="none" strike="noStrike">
              <a:solidFill>
                <a:schemeClr val="tx1">
                  <a:lumMod val="75000"/>
                  <a:lumOff val="25000"/>
                </a:schemeClr>
              </a:solidFill>
              <a:latin typeface="Arial" panose="020B0604020202020204" pitchFamily="34" charset="0"/>
              <a:ea typeface="Calibri"/>
              <a:cs typeface="Arial" panose="020B0604020202020204" pitchFamily="34" charset="0"/>
            </a:rPr>
            <a:pPr marL="0" indent="0" algn="l"/>
            <a:t>Thursday, December 4, 2025</a:t>
          </a:fld>
          <a:endParaRPr lang="en-US" sz="1200" b="1" i="0" u="none" strike="noStrike">
            <a:solidFill>
              <a:schemeClr val="tx1">
                <a:lumMod val="75000"/>
                <a:lumOff val="25000"/>
              </a:schemeClr>
            </a:solidFill>
            <a:latin typeface="Arial" panose="020B0604020202020204" pitchFamily="34" charset="0"/>
            <a:ea typeface="Calibri"/>
            <a:cs typeface="Arial" panose="020B0604020202020204" pitchFamily="34" charset="0"/>
          </a:endParaRPr>
        </a:p>
      </xdr:txBody>
    </xdr:sp>
    <xdr:clientData/>
  </xdr:twoCellAnchor>
  <xdr:twoCellAnchor>
    <xdr:from>
      <xdr:col>37</xdr:col>
      <xdr:colOff>108855</xdr:colOff>
      <xdr:row>33</xdr:row>
      <xdr:rowOff>93934</xdr:rowOff>
    </xdr:from>
    <xdr:to>
      <xdr:col>39</xdr:col>
      <xdr:colOff>459241</xdr:colOff>
      <xdr:row>55</xdr:row>
      <xdr:rowOff>66225</xdr:rowOff>
    </xdr:to>
    <xdr:grpSp>
      <xdr:nvGrpSpPr>
        <xdr:cNvPr id="14" name="Group 13">
          <a:extLst>
            <a:ext uri="{FF2B5EF4-FFF2-40B4-BE49-F238E27FC236}">
              <a16:creationId xmlns:a16="http://schemas.microsoft.com/office/drawing/2014/main" id="{9E93AEBC-3CFD-42AA-5E72-BD2DA74B67C5}"/>
            </a:ext>
          </a:extLst>
        </xdr:cNvPr>
        <xdr:cNvGrpSpPr/>
      </xdr:nvGrpSpPr>
      <xdr:grpSpPr>
        <a:xfrm>
          <a:off x="22664055" y="6170884"/>
          <a:ext cx="1569586" cy="4023591"/>
          <a:chOff x="23990446" y="5179458"/>
          <a:chExt cx="2213510" cy="3983236"/>
        </a:xfrm>
      </xdr:grpSpPr>
      <mc:AlternateContent xmlns:mc="http://schemas.openxmlformats.org/markup-compatibility/2006" xmlns:a14="http://schemas.microsoft.com/office/drawing/2010/main">
        <mc:Choice Requires="a14">
          <xdr:graphicFrame macro="">
            <xdr:nvGraphicFramePr>
              <xdr:cNvPr id="17" name="Year">
                <a:extLst>
                  <a:ext uri="{FF2B5EF4-FFF2-40B4-BE49-F238E27FC236}">
                    <a16:creationId xmlns:a16="http://schemas.microsoft.com/office/drawing/2014/main" id="{6FA0813E-2126-488A-A4CA-29F8700364F1}"/>
                  </a:ext>
                </a:extLst>
              </xdr:cNvPr>
              <xdr:cNvGraphicFramePr/>
            </xdr:nvGraphicFramePr>
            <xdr:xfrm>
              <a:off x="24097682" y="5179458"/>
              <a:ext cx="1990163" cy="853208"/>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22776336" y="6219242"/>
                <a:ext cx="1412969" cy="868757"/>
              </a:xfrm>
              <a:prstGeom prst="rect">
                <a:avLst/>
              </a:prstGeom>
              <a:solidFill>
                <a:prstClr val="white"/>
              </a:solidFill>
              <a:ln w="1">
                <a:solidFill>
                  <a:prstClr val="green"/>
                </a:solidFill>
              </a:ln>
            </xdr:spPr>
            <xdr:txBody>
              <a:bodyPr vertOverflow="clip" horzOverflow="clip"/>
              <a:lstStyle/>
              <a:p>
                <a:r>
                  <a:rPr lang="en-PH"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3" name="Month">
                <a:extLst>
                  <a:ext uri="{FF2B5EF4-FFF2-40B4-BE49-F238E27FC236}">
                    <a16:creationId xmlns:a16="http://schemas.microsoft.com/office/drawing/2014/main" id="{05C9F0B1-28A3-436B-8A58-9BC4E8AFA10B}"/>
                  </a:ext>
                </a:extLst>
              </xdr:cNvPr>
              <xdr:cNvGraphicFramePr/>
            </xdr:nvGraphicFramePr>
            <xdr:xfrm>
              <a:off x="23990449" y="6052999"/>
              <a:ext cx="2156267" cy="1050302"/>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22700203" y="7108703"/>
                <a:ext cx="1530899" cy="1069443"/>
              </a:xfrm>
              <a:prstGeom prst="rect">
                <a:avLst/>
              </a:prstGeom>
              <a:solidFill>
                <a:prstClr val="white"/>
              </a:solidFill>
              <a:ln w="1">
                <a:solidFill>
                  <a:prstClr val="green"/>
                </a:solidFill>
              </a:ln>
            </xdr:spPr>
            <xdr:txBody>
              <a:bodyPr vertOverflow="clip" horzOverflow="clip"/>
              <a:lstStyle/>
              <a:p>
                <a:r>
                  <a:rPr lang="en-PH"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8" name="Operator Error">
                <a:extLst>
                  <a:ext uri="{FF2B5EF4-FFF2-40B4-BE49-F238E27FC236}">
                    <a16:creationId xmlns:a16="http://schemas.microsoft.com/office/drawing/2014/main" id="{8515FE07-2180-4199-8FB3-681DC0F9B7FC}"/>
                  </a:ext>
                </a:extLst>
              </xdr:cNvPr>
              <xdr:cNvGraphicFramePr/>
            </xdr:nvGraphicFramePr>
            <xdr:xfrm>
              <a:off x="23990446" y="7123634"/>
              <a:ext cx="2213510" cy="910906"/>
            </xdr:xfrm>
            <a:graphic>
              <a:graphicData uri="http://schemas.microsoft.com/office/drawing/2010/slicer">
                <sle:slicer xmlns:sle="http://schemas.microsoft.com/office/drawing/2010/slicer" name="Operator Error"/>
              </a:graphicData>
            </a:graphic>
          </xdr:graphicFrame>
        </mc:Choice>
        <mc:Fallback xmlns="">
          <xdr:sp macro="" textlink="">
            <xdr:nvSpPr>
              <xdr:cNvPr id="0" name=""/>
              <xdr:cNvSpPr>
                <a:spLocks noTextEdit="1"/>
              </xdr:cNvSpPr>
            </xdr:nvSpPr>
            <xdr:spPr>
              <a:xfrm>
                <a:off x="22700201" y="8198850"/>
                <a:ext cx="1571540" cy="927507"/>
              </a:xfrm>
              <a:prstGeom prst="rect">
                <a:avLst/>
              </a:prstGeom>
              <a:solidFill>
                <a:prstClr val="white"/>
              </a:solidFill>
              <a:ln w="1">
                <a:solidFill>
                  <a:prstClr val="green"/>
                </a:solidFill>
              </a:ln>
            </xdr:spPr>
            <xdr:txBody>
              <a:bodyPr vertOverflow="clip" horzOverflow="clip"/>
              <a:lstStyle/>
              <a:p>
                <a:r>
                  <a:rPr lang="en-PH"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7" name="Operator">
                <a:extLst>
                  <a:ext uri="{FF2B5EF4-FFF2-40B4-BE49-F238E27FC236}">
                    <a16:creationId xmlns:a16="http://schemas.microsoft.com/office/drawing/2014/main" id="{C829A8FE-511F-4046-A5CF-A4F7347A8501}"/>
                  </a:ext>
                </a:extLst>
              </xdr:cNvPr>
              <xdr:cNvGraphicFramePr>
                <a:graphicFrameLocks noChangeAspect="1"/>
              </xdr:cNvGraphicFramePr>
            </xdr:nvGraphicFramePr>
            <xdr:xfrm>
              <a:off x="23990449" y="8054873"/>
              <a:ext cx="2194424" cy="1107821"/>
            </xdr:xfrm>
            <a:graphic>
              <a:graphicData uri="http://schemas.microsoft.com/office/drawing/2010/slicer">
                <sle:slicer xmlns:sle="http://schemas.microsoft.com/office/drawing/2010/slicer" name="Operator"/>
              </a:graphicData>
            </a:graphic>
          </xdr:graphicFrame>
        </mc:Choice>
        <mc:Fallback xmlns="">
          <xdr:sp macro="" textlink="">
            <xdr:nvSpPr>
              <xdr:cNvPr id="0" name=""/>
              <xdr:cNvSpPr>
                <a:spLocks noTextEdit="1"/>
              </xdr:cNvSpPr>
            </xdr:nvSpPr>
            <xdr:spPr>
              <a:xfrm>
                <a:off x="22700203" y="9147060"/>
                <a:ext cx="1557989" cy="1128011"/>
              </a:xfrm>
              <a:prstGeom prst="rect">
                <a:avLst/>
              </a:prstGeom>
              <a:solidFill>
                <a:prstClr val="white"/>
              </a:solidFill>
              <a:ln w="1">
                <a:solidFill>
                  <a:prstClr val="green"/>
                </a:solidFill>
              </a:ln>
            </xdr:spPr>
            <xdr:txBody>
              <a:bodyPr vertOverflow="clip" horzOverflow="clip"/>
              <a:lstStyle/>
              <a:p>
                <a:r>
                  <a:rPr lang="en-PH"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twoCellAnchor editAs="oneCell">
    <xdr:from>
      <xdr:col>37</xdr:col>
      <xdr:colOff>496957</xdr:colOff>
      <xdr:row>28</xdr:row>
      <xdr:rowOff>16564</xdr:rowOff>
    </xdr:from>
    <xdr:to>
      <xdr:col>39</xdr:col>
      <xdr:colOff>74970</xdr:colOff>
      <xdr:row>32</xdr:row>
      <xdr:rowOff>157369</xdr:rowOff>
    </xdr:to>
    <xdr:pic>
      <xdr:nvPicPr>
        <xdr:cNvPr id="19" name="Picture 18">
          <a:extLst>
            <a:ext uri="{FF2B5EF4-FFF2-40B4-BE49-F238E27FC236}">
              <a16:creationId xmlns:a16="http://schemas.microsoft.com/office/drawing/2014/main" id="{EA1488A6-FD6A-C51E-21D8-FEDAE3CC842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24400566" y="5118651"/>
          <a:ext cx="870100" cy="869675"/>
        </a:xfrm>
        <a:prstGeom prst="rect">
          <a:avLst/>
        </a:prstGeom>
      </xdr:spPr>
    </xdr:pic>
    <xdr:clientData/>
  </xdr:twoCellAnchor>
  <xdr:twoCellAnchor>
    <xdr:from>
      <xdr:col>59</xdr:col>
      <xdr:colOff>285751</xdr:colOff>
      <xdr:row>30</xdr:row>
      <xdr:rowOff>86222</xdr:rowOff>
    </xdr:from>
    <xdr:to>
      <xdr:col>59</xdr:col>
      <xdr:colOff>459686</xdr:colOff>
      <xdr:row>31</xdr:row>
      <xdr:rowOff>3396</xdr:rowOff>
    </xdr:to>
    <xdr:sp macro="" textlink="">
      <xdr:nvSpPr>
        <xdr:cNvPr id="21" name="Rectangle 20">
          <a:extLst>
            <a:ext uri="{FF2B5EF4-FFF2-40B4-BE49-F238E27FC236}">
              <a16:creationId xmlns:a16="http://schemas.microsoft.com/office/drawing/2014/main" id="{83EA97DE-9FF8-EF9C-D3A3-F7E861C9E99A}"/>
            </a:ext>
          </a:extLst>
        </xdr:cNvPr>
        <xdr:cNvSpPr/>
      </xdr:nvSpPr>
      <xdr:spPr>
        <a:xfrm>
          <a:off x="36309789" y="5654684"/>
          <a:ext cx="173935" cy="102789"/>
        </a:xfrm>
        <a:prstGeom prst="rect">
          <a:avLst/>
        </a:prstGeom>
        <a:solidFill>
          <a:srgbClr val="EFEFE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47</xdr:col>
      <xdr:colOff>232758</xdr:colOff>
      <xdr:row>32</xdr:row>
      <xdr:rowOff>104707</xdr:rowOff>
    </xdr:from>
    <xdr:to>
      <xdr:col>48</xdr:col>
      <xdr:colOff>631730</xdr:colOff>
      <xdr:row>36</xdr:row>
      <xdr:rowOff>127157</xdr:rowOff>
    </xdr:to>
    <xdr:sp macro="" textlink="">
      <xdr:nvSpPr>
        <xdr:cNvPr id="87" name="Rectangle: Rounded Corners 86">
          <a:extLst>
            <a:ext uri="{FF2B5EF4-FFF2-40B4-BE49-F238E27FC236}">
              <a16:creationId xmlns:a16="http://schemas.microsoft.com/office/drawing/2014/main" id="{8B42486B-6569-45E0-8268-5C59812D32E8}"/>
            </a:ext>
          </a:extLst>
        </xdr:cNvPr>
        <xdr:cNvSpPr/>
      </xdr:nvSpPr>
      <xdr:spPr>
        <a:xfrm>
          <a:off x="30596801" y="5935664"/>
          <a:ext cx="1045016" cy="751319"/>
        </a:xfrm>
        <a:prstGeom prst="roundRect">
          <a:avLst>
            <a:gd name="adj" fmla="val 3422"/>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900"/>
        </a:p>
      </xdr:txBody>
    </xdr:sp>
    <xdr:clientData/>
  </xdr:twoCellAnchor>
  <xdr:twoCellAnchor>
    <xdr:from>
      <xdr:col>50</xdr:col>
      <xdr:colOff>2864</xdr:colOff>
      <xdr:row>23</xdr:row>
      <xdr:rowOff>92285</xdr:rowOff>
    </xdr:from>
    <xdr:to>
      <xdr:col>52</xdr:col>
      <xdr:colOff>624870</xdr:colOff>
      <xdr:row>31</xdr:row>
      <xdr:rowOff>10032</xdr:rowOff>
    </xdr:to>
    <xdr:sp macro="" textlink="">
      <xdr:nvSpPr>
        <xdr:cNvPr id="88" name="Rectangle: Rounded Corners 87">
          <a:extLst>
            <a:ext uri="{FF2B5EF4-FFF2-40B4-BE49-F238E27FC236}">
              <a16:creationId xmlns:a16="http://schemas.microsoft.com/office/drawing/2014/main" id="{D61FD454-C4B0-41BE-A46C-FA245A56A908}"/>
            </a:ext>
          </a:extLst>
        </xdr:cNvPr>
        <xdr:cNvSpPr/>
      </xdr:nvSpPr>
      <xdr:spPr>
        <a:xfrm>
          <a:off x="32305038" y="4283285"/>
          <a:ext cx="1914093" cy="1375486"/>
        </a:xfrm>
        <a:prstGeom prst="roundRect">
          <a:avLst>
            <a:gd name="adj" fmla="val 3422"/>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900"/>
        </a:p>
      </xdr:txBody>
    </xdr:sp>
    <xdr:clientData/>
  </xdr:twoCellAnchor>
  <xdr:twoCellAnchor>
    <xdr:from>
      <xdr:col>54</xdr:col>
      <xdr:colOff>602803</xdr:colOff>
      <xdr:row>23</xdr:row>
      <xdr:rowOff>124207</xdr:rowOff>
    </xdr:from>
    <xdr:to>
      <xdr:col>57</xdr:col>
      <xdr:colOff>578766</xdr:colOff>
      <xdr:row>31</xdr:row>
      <xdr:rowOff>41954</xdr:rowOff>
    </xdr:to>
    <xdr:sp macro="" textlink="">
      <xdr:nvSpPr>
        <xdr:cNvPr id="90" name="Rectangle: Rounded Corners 89">
          <a:extLst>
            <a:ext uri="{FF2B5EF4-FFF2-40B4-BE49-F238E27FC236}">
              <a16:creationId xmlns:a16="http://schemas.microsoft.com/office/drawing/2014/main" id="{A13C141B-265A-4770-8F72-E771E0569FCE}"/>
            </a:ext>
          </a:extLst>
        </xdr:cNvPr>
        <xdr:cNvSpPr/>
      </xdr:nvSpPr>
      <xdr:spPr>
        <a:xfrm>
          <a:off x="35489151" y="4315207"/>
          <a:ext cx="1914093" cy="1375486"/>
        </a:xfrm>
        <a:prstGeom prst="roundRect">
          <a:avLst>
            <a:gd name="adj" fmla="val 3422"/>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900"/>
        </a:p>
      </xdr:txBody>
    </xdr:sp>
    <xdr:clientData/>
  </xdr:twoCellAnchor>
  <xdr:twoCellAnchor>
    <xdr:from>
      <xdr:col>49</xdr:col>
      <xdr:colOff>169793</xdr:colOff>
      <xdr:row>39</xdr:row>
      <xdr:rowOff>18460</xdr:rowOff>
    </xdr:from>
    <xdr:to>
      <xdr:col>53</xdr:col>
      <xdr:colOff>517662</xdr:colOff>
      <xdr:row>50</xdr:row>
      <xdr:rowOff>140804</xdr:rowOff>
    </xdr:to>
    <xdr:sp macro="" textlink="">
      <xdr:nvSpPr>
        <xdr:cNvPr id="56" name="Rectangle: Rounded Corners 55">
          <a:extLst>
            <a:ext uri="{FF2B5EF4-FFF2-40B4-BE49-F238E27FC236}">
              <a16:creationId xmlns:a16="http://schemas.microsoft.com/office/drawing/2014/main" id="{86364D8A-FFD2-4CBB-ACAB-0CB9A8395883}"/>
            </a:ext>
          </a:extLst>
        </xdr:cNvPr>
        <xdr:cNvSpPr/>
      </xdr:nvSpPr>
      <xdr:spPr>
        <a:xfrm>
          <a:off x="31825923" y="7124938"/>
          <a:ext cx="2932043" cy="2126736"/>
        </a:xfrm>
        <a:prstGeom prst="roundRect">
          <a:avLst>
            <a:gd name="adj" fmla="val 2170"/>
          </a:avLst>
        </a:prstGeom>
        <a:solidFill>
          <a:srgbClr val="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49</xdr:col>
      <xdr:colOff>236056</xdr:colOff>
      <xdr:row>40</xdr:row>
      <xdr:rowOff>91108</xdr:rowOff>
    </xdr:from>
    <xdr:to>
      <xdr:col>53</xdr:col>
      <xdr:colOff>408214</xdr:colOff>
      <xdr:row>50</xdr:row>
      <xdr:rowOff>4141</xdr:rowOff>
    </xdr:to>
    <xdr:graphicFrame macro="">
      <xdr:nvGraphicFramePr>
        <xdr:cNvPr id="80" name="Chart 79">
          <a:extLst>
            <a:ext uri="{FF2B5EF4-FFF2-40B4-BE49-F238E27FC236}">
              <a16:creationId xmlns:a16="http://schemas.microsoft.com/office/drawing/2014/main" id="{21B414D2-6400-4E7B-A36F-9C43BD164FAB}"/>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52</xdr:col>
      <xdr:colOff>115410</xdr:colOff>
      <xdr:row>31</xdr:row>
      <xdr:rowOff>171520</xdr:rowOff>
    </xdr:from>
    <xdr:to>
      <xdr:col>54</xdr:col>
      <xdr:colOff>215434</xdr:colOff>
      <xdr:row>35</xdr:row>
      <xdr:rowOff>30427</xdr:rowOff>
    </xdr:to>
    <xdr:sp macro="" textlink="">
      <xdr:nvSpPr>
        <xdr:cNvPr id="5" name="TextBox 4">
          <a:extLst>
            <a:ext uri="{FF2B5EF4-FFF2-40B4-BE49-F238E27FC236}">
              <a16:creationId xmlns:a16="http://schemas.microsoft.com/office/drawing/2014/main" id="{6D3924EE-5374-A4BA-337F-0E5F9BB4CFB9}"/>
            </a:ext>
          </a:extLst>
        </xdr:cNvPr>
        <xdr:cNvSpPr txBox="1"/>
      </xdr:nvSpPr>
      <xdr:spPr>
        <a:xfrm>
          <a:off x="33709671" y="5820259"/>
          <a:ext cx="1392111" cy="58777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r>
            <a:rPr lang="en-US" sz="800" b="1"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rPr>
            <a:t>ACTUAL </a:t>
          </a:r>
        </a:p>
        <a:p>
          <a:pPr marL="0" indent="0"/>
          <a:r>
            <a:rPr lang="en-US" sz="800" b="1"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rPr>
            <a:t>PRODUCTION TIME</a:t>
          </a:r>
        </a:p>
      </xdr:txBody>
    </xdr:sp>
    <xdr:clientData/>
  </xdr:twoCellAnchor>
  <xdr:twoCellAnchor>
    <xdr:from>
      <xdr:col>49</xdr:col>
      <xdr:colOff>454652</xdr:colOff>
      <xdr:row>31</xdr:row>
      <xdr:rowOff>163236</xdr:rowOff>
    </xdr:from>
    <xdr:to>
      <xdr:col>51</xdr:col>
      <xdr:colOff>576025</xdr:colOff>
      <xdr:row>33</xdr:row>
      <xdr:rowOff>165651</xdr:rowOff>
    </xdr:to>
    <xdr:sp macro="" textlink="">
      <xdr:nvSpPr>
        <xdr:cNvPr id="8" name="TextBox 7">
          <a:extLst>
            <a:ext uri="{FF2B5EF4-FFF2-40B4-BE49-F238E27FC236}">
              <a16:creationId xmlns:a16="http://schemas.microsoft.com/office/drawing/2014/main" id="{36A4E399-5D92-4E82-8CD1-C1738FA60C3E}"/>
            </a:ext>
          </a:extLst>
        </xdr:cNvPr>
        <xdr:cNvSpPr txBox="1"/>
      </xdr:nvSpPr>
      <xdr:spPr>
        <a:xfrm>
          <a:off x="32110782" y="5811975"/>
          <a:ext cx="1413460" cy="3668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r>
            <a:rPr lang="en-US" sz="800" b="1"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rPr>
            <a:t>STANDARD</a:t>
          </a:r>
        </a:p>
        <a:p>
          <a:pPr marL="0" indent="0"/>
          <a:r>
            <a:rPr lang="en-US" sz="800" b="1"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rPr>
            <a:t>PRODUCTION TIME</a:t>
          </a:r>
        </a:p>
      </xdr:txBody>
    </xdr:sp>
    <xdr:clientData/>
  </xdr:twoCellAnchor>
  <xdr:twoCellAnchor>
    <xdr:from>
      <xdr:col>54</xdr:col>
      <xdr:colOff>424435</xdr:colOff>
      <xdr:row>31</xdr:row>
      <xdr:rowOff>175662</xdr:rowOff>
    </xdr:from>
    <xdr:to>
      <xdr:col>56</xdr:col>
      <xdr:colOff>215050</xdr:colOff>
      <xdr:row>35</xdr:row>
      <xdr:rowOff>59887</xdr:rowOff>
    </xdr:to>
    <xdr:sp macro="" textlink="">
      <xdr:nvSpPr>
        <xdr:cNvPr id="9" name="TextBox 8">
          <a:extLst>
            <a:ext uri="{FF2B5EF4-FFF2-40B4-BE49-F238E27FC236}">
              <a16:creationId xmlns:a16="http://schemas.microsoft.com/office/drawing/2014/main" id="{1EFC0D46-5A6A-4D50-9178-BF26C2DF1C8C}"/>
            </a:ext>
          </a:extLst>
        </xdr:cNvPr>
        <xdr:cNvSpPr txBox="1"/>
      </xdr:nvSpPr>
      <xdr:spPr>
        <a:xfrm>
          <a:off x="35310783" y="5824401"/>
          <a:ext cx="1082702" cy="6130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r>
            <a:rPr lang="en-US" sz="800" b="1"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rPr>
            <a:t>AVERAGE </a:t>
          </a:r>
        </a:p>
        <a:p>
          <a:pPr marL="0" indent="0"/>
          <a:r>
            <a:rPr lang="en-US" sz="800" b="1"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rPr>
            <a:t> DOWNTIME</a:t>
          </a:r>
        </a:p>
      </xdr:txBody>
    </xdr:sp>
    <xdr:clientData/>
  </xdr:twoCellAnchor>
  <xdr:twoCellAnchor>
    <xdr:from>
      <xdr:col>57</xdr:col>
      <xdr:colOff>58344</xdr:colOff>
      <xdr:row>31</xdr:row>
      <xdr:rowOff>179803</xdr:rowOff>
    </xdr:from>
    <xdr:to>
      <xdr:col>58</xdr:col>
      <xdr:colOff>634773</xdr:colOff>
      <xdr:row>33</xdr:row>
      <xdr:rowOff>149465</xdr:rowOff>
    </xdr:to>
    <xdr:sp macro="" textlink="">
      <xdr:nvSpPr>
        <xdr:cNvPr id="40" name="TextBox 39">
          <a:extLst>
            <a:ext uri="{FF2B5EF4-FFF2-40B4-BE49-F238E27FC236}">
              <a16:creationId xmlns:a16="http://schemas.microsoft.com/office/drawing/2014/main" id="{D199F653-FEA3-7F7C-44EB-5D80A6EB15CA}"/>
            </a:ext>
          </a:extLst>
        </xdr:cNvPr>
        <xdr:cNvSpPr txBox="1"/>
      </xdr:nvSpPr>
      <xdr:spPr>
        <a:xfrm>
          <a:off x="36882822" y="5828542"/>
          <a:ext cx="1222473" cy="33409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r>
            <a:rPr lang="en-US" sz="800" b="1"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rPr>
            <a:t>BATCH COUNT</a:t>
          </a:r>
        </a:p>
      </xdr:txBody>
    </xdr:sp>
    <xdr:clientData/>
  </xdr:twoCellAnchor>
  <xdr:twoCellAnchor>
    <xdr:from>
      <xdr:col>44</xdr:col>
      <xdr:colOff>569365</xdr:colOff>
      <xdr:row>31</xdr:row>
      <xdr:rowOff>175660</xdr:rowOff>
    </xdr:from>
    <xdr:to>
      <xdr:col>47</xdr:col>
      <xdr:colOff>4143</xdr:colOff>
      <xdr:row>33</xdr:row>
      <xdr:rowOff>173934</xdr:rowOff>
    </xdr:to>
    <xdr:sp macro="" textlink="">
      <xdr:nvSpPr>
        <xdr:cNvPr id="37" name="TextBox 36">
          <a:extLst>
            <a:ext uri="{FF2B5EF4-FFF2-40B4-BE49-F238E27FC236}">
              <a16:creationId xmlns:a16="http://schemas.microsoft.com/office/drawing/2014/main" id="{C26ED8AB-CF7D-76E8-4BB5-711807CB200D}"/>
            </a:ext>
          </a:extLst>
        </xdr:cNvPr>
        <xdr:cNvSpPr txBox="1"/>
      </xdr:nvSpPr>
      <xdr:spPr>
        <a:xfrm>
          <a:off x="28995278" y="5824399"/>
          <a:ext cx="1372908" cy="3627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r>
            <a:rPr lang="en-US" sz="900" b="1"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rPr>
            <a:t>COUNT </a:t>
          </a:r>
        </a:p>
        <a:p>
          <a:pPr marL="0" indent="0"/>
          <a:r>
            <a:rPr lang="en-US" sz="700" b="1"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rPr>
            <a:t>OF PRODUCTION FAULT</a:t>
          </a:r>
        </a:p>
      </xdr:txBody>
    </xdr:sp>
    <xdr:clientData/>
  </xdr:twoCellAnchor>
  <xdr:twoCellAnchor>
    <xdr:from>
      <xdr:col>47</xdr:col>
      <xdr:colOff>192035</xdr:colOff>
      <xdr:row>31</xdr:row>
      <xdr:rowOff>167378</xdr:rowOff>
    </xdr:from>
    <xdr:to>
      <xdr:col>49</xdr:col>
      <xdr:colOff>310597</xdr:colOff>
      <xdr:row>35</xdr:row>
      <xdr:rowOff>6226</xdr:rowOff>
    </xdr:to>
    <xdr:sp macro="" textlink="">
      <xdr:nvSpPr>
        <xdr:cNvPr id="50" name="TextBox 49">
          <a:extLst>
            <a:ext uri="{FF2B5EF4-FFF2-40B4-BE49-F238E27FC236}">
              <a16:creationId xmlns:a16="http://schemas.microsoft.com/office/drawing/2014/main" id="{4AF398C7-30D1-32AA-D688-6986180F9AA3}"/>
            </a:ext>
          </a:extLst>
        </xdr:cNvPr>
        <xdr:cNvSpPr txBox="1"/>
      </xdr:nvSpPr>
      <xdr:spPr>
        <a:xfrm>
          <a:off x="30556078" y="5816117"/>
          <a:ext cx="1410649" cy="5677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r>
            <a:rPr lang="en-US" sz="800" b="1"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rPr>
            <a:t>TOTAL</a:t>
          </a:r>
        </a:p>
        <a:p>
          <a:pPr marL="0" indent="0"/>
          <a:r>
            <a:rPr lang="en-US" sz="800" b="1"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rPr>
            <a:t>PRODUCTION DOWNTIME</a:t>
          </a:r>
        </a:p>
      </xdr:txBody>
    </xdr:sp>
    <xdr:clientData/>
  </xdr:twoCellAnchor>
  <xdr:twoCellAnchor>
    <xdr:from>
      <xdr:col>53</xdr:col>
      <xdr:colOff>579783</xdr:colOff>
      <xdr:row>39</xdr:row>
      <xdr:rowOff>27864</xdr:rowOff>
    </xdr:from>
    <xdr:to>
      <xdr:col>59</xdr:col>
      <xdr:colOff>298173</xdr:colOff>
      <xdr:row>50</xdr:row>
      <xdr:rowOff>136663</xdr:rowOff>
    </xdr:to>
    <xdr:sp macro="" textlink="">
      <xdr:nvSpPr>
        <xdr:cNvPr id="57" name="Rectangle: Rounded Corners 56">
          <a:extLst>
            <a:ext uri="{FF2B5EF4-FFF2-40B4-BE49-F238E27FC236}">
              <a16:creationId xmlns:a16="http://schemas.microsoft.com/office/drawing/2014/main" id="{5234A739-0A62-4372-89BD-381D5C6EA20F}"/>
            </a:ext>
          </a:extLst>
        </xdr:cNvPr>
        <xdr:cNvSpPr/>
      </xdr:nvSpPr>
      <xdr:spPr>
        <a:xfrm>
          <a:off x="34820087" y="7134342"/>
          <a:ext cx="3594651" cy="2113191"/>
        </a:xfrm>
        <a:prstGeom prst="roundRect">
          <a:avLst>
            <a:gd name="adj" fmla="val 2170"/>
          </a:avLst>
        </a:prstGeom>
        <a:solidFill>
          <a:srgbClr val="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54</xdr:col>
      <xdr:colOff>144944</xdr:colOff>
      <xdr:row>38</xdr:row>
      <xdr:rowOff>132546</xdr:rowOff>
    </xdr:from>
    <xdr:to>
      <xdr:col>59</xdr:col>
      <xdr:colOff>488673</xdr:colOff>
      <xdr:row>49</xdr:row>
      <xdr:rowOff>103249</xdr:rowOff>
    </xdr:to>
    <xdr:graphicFrame macro="">
      <xdr:nvGraphicFramePr>
        <xdr:cNvPr id="23" name="Chart 22">
          <a:extLst>
            <a:ext uri="{FF2B5EF4-FFF2-40B4-BE49-F238E27FC236}">
              <a16:creationId xmlns:a16="http://schemas.microsoft.com/office/drawing/2014/main" id="{2057D903-A2A4-47B0-8A47-97C3212302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39</xdr:col>
      <xdr:colOff>586049</xdr:colOff>
      <xdr:row>31</xdr:row>
      <xdr:rowOff>138894</xdr:rowOff>
    </xdr:from>
    <xdr:to>
      <xdr:col>59</xdr:col>
      <xdr:colOff>290986</xdr:colOff>
      <xdr:row>38</xdr:row>
      <xdr:rowOff>143532</xdr:rowOff>
    </xdr:to>
    <xdr:grpSp>
      <xdr:nvGrpSpPr>
        <xdr:cNvPr id="79" name="Group 78">
          <a:extLst>
            <a:ext uri="{FF2B5EF4-FFF2-40B4-BE49-F238E27FC236}">
              <a16:creationId xmlns:a16="http://schemas.microsoft.com/office/drawing/2014/main" id="{294DA68F-3526-A601-AE1A-6CC7C88FE7B1}"/>
            </a:ext>
          </a:extLst>
        </xdr:cNvPr>
        <xdr:cNvGrpSpPr/>
      </xdr:nvGrpSpPr>
      <xdr:grpSpPr>
        <a:xfrm>
          <a:off x="24360449" y="5847544"/>
          <a:ext cx="11896937" cy="1293688"/>
          <a:chOff x="25781745" y="5787633"/>
          <a:chExt cx="12625806" cy="1280160"/>
        </a:xfrm>
      </xdr:grpSpPr>
      <xdr:sp macro="" textlink="Analysis!C28">
        <xdr:nvSpPr>
          <xdr:cNvPr id="48" name="Rectangle: Rounded Corners 47">
            <a:extLst>
              <a:ext uri="{FF2B5EF4-FFF2-40B4-BE49-F238E27FC236}">
                <a16:creationId xmlns:a16="http://schemas.microsoft.com/office/drawing/2014/main" id="{106C6E8A-D281-47C0-9FAD-C7DCD3BD07AD}"/>
              </a:ext>
            </a:extLst>
          </xdr:cNvPr>
          <xdr:cNvSpPr/>
        </xdr:nvSpPr>
        <xdr:spPr>
          <a:xfrm>
            <a:off x="29005469" y="5787633"/>
            <a:ext cx="1527048" cy="1280160"/>
          </a:xfrm>
          <a:prstGeom prst="roundRect">
            <a:avLst>
              <a:gd name="adj" fmla="val 3422"/>
            </a:avLst>
          </a:prstGeom>
          <a:solidFill>
            <a:srgbClr val="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8D789431-C107-46CF-B33A-33E194246661}" type="TxLink">
              <a:rPr lang="en-US" sz="4400" b="1" i="0" u="none" strike="noStrike">
                <a:solidFill>
                  <a:srgbClr val="000000"/>
                </a:solidFill>
                <a:latin typeface="Abadi" panose="020B0604020104020204" pitchFamily="34" charset="0"/>
                <a:ea typeface="Calibri"/>
                <a:cs typeface="Calibri"/>
              </a:rPr>
              <a:pPr marL="0" indent="0" algn="ctr"/>
              <a:t>61</a:t>
            </a:fld>
            <a:endParaRPr lang="en-US" sz="4400" b="1" i="0" u="none" strike="noStrike">
              <a:solidFill>
                <a:srgbClr val="000000"/>
              </a:solidFill>
              <a:latin typeface="Abadi" panose="020B0604020104020204" pitchFamily="34" charset="0"/>
              <a:ea typeface="Calibri"/>
              <a:cs typeface="Calibri"/>
            </a:endParaRPr>
          </a:p>
        </xdr:txBody>
      </xdr:sp>
      <xdr:sp macro="" textlink="Analysis!C24">
        <xdr:nvSpPr>
          <xdr:cNvPr id="51" name="Rectangle: Rounded Corners 50">
            <a:extLst>
              <a:ext uri="{FF2B5EF4-FFF2-40B4-BE49-F238E27FC236}">
                <a16:creationId xmlns:a16="http://schemas.microsoft.com/office/drawing/2014/main" id="{2EE9818C-E866-4005-B3EA-A853888B9AE9}"/>
              </a:ext>
            </a:extLst>
          </xdr:cNvPr>
          <xdr:cNvSpPr/>
        </xdr:nvSpPr>
        <xdr:spPr>
          <a:xfrm>
            <a:off x="30577991" y="5787633"/>
            <a:ext cx="1527048" cy="1280160"/>
          </a:xfrm>
          <a:prstGeom prst="roundRect">
            <a:avLst>
              <a:gd name="adj" fmla="val 3422"/>
            </a:avLst>
          </a:prstGeom>
          <a:solidFill>
            <a:srgbClr val="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14A355C2-8BA4-4285-BCEA-9A6670010DAE}" type="TxLink">
              <a:rPr lang="en-US" sz="2000" b="1" i="0" u="none" strike="noStrike">
                <a:solidFill>
                  <a:srgbClr val="000000"/>
                </a:solidFill>
                <a:latin typeface="Abadi" panose="020B0604020104020204" pitchFamily="34" charset="0"/>
                <a:ea typeface="Calibri"/>
                <a:cs typeface="Calibri"/>
              </a:rPr>
              <a:pPr marL="0" indent="0" algn="ctr"/>
              <a:t>23:08:00</a:t>
            </a:fld>
            <a:endParaRPr lang="en-US" sz="2000" b="1" i="0" u="none" strike="noStrike">
              <a:solidFill>
                <a:srgbClr val="000000"/>
              </a:solidFill>
              <a:latin typeface="Abadi" panose="020B0604020104020204" pitchFamily="34" charset="0"/>
              <a:ea typeface="Calibri"/>
              <a:cs typeface="Calibri"/>
            </a:endParaRPr>
          </a:p>
        </xdr:txBody>
      </xdr:sp>
      <xdr:sp macro="" textlink="Analysis!C17">
        <xdr:nvSpPr>
          <xdr:cNvPr id="52" name="Rectangle: Rounded Corners 51">
            <a:extLst>
              <a:ext uri="{FF2B5EF4-FFF2-40B4-BE49-F238E27FC236}">
                <a16:creationId xmlns:a16="http://schemas.microsoft.com/office/drawing/2014/main" id="{56DB049A-1A6F-4101-AE4A-8B15ED286B4E}"/>
              </a:ext>
            </a:extLst>
          </xdr:cNvPr>
          <xdr:cNvSpPr/>
        </xdr:nvSpPr>
        <xdr:spPr>
          <a:xfrm>
            <a:off x="32150513" y="5787633"/>
            <a:ext cx="1527048" cy="1280160"/>
          </a:xfrm>
          <a:prstGeom prst="roundRect">
            <a:avLst>
              <a:gd name="adj" fmla="val 3422"/>
            </a:avLst>
          </a:prstGeom>
          <a:solidFill>
            <a:srgbClr val="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FBD12445-1531-49F1-A77C-C3E5867D5E3C}" type="TxLink">
              <a:rPr lang="en-US" sz="2000" b="1" i="0" u="none" strike="noStrike">
                <a:solidFill>
                  <a:srgbClr val="000000"/>
                </a:solidFill>
                <a:latin typeface="Abadi" panose="020B0604020104020204" pitchFamily="34" charset="0"/>
                <a:ea typeface="Calibri"/>
                <a:cs typeface="Calibri"/>
              </a:rPr>
              <a:pPr marL="0" indent="0" algn="ctr"/>
              <a:t>41:10:00</a:t>
            </a:fld>
            <a:endParaRPr lang="en-US" sz="2000" b="1" i="0" u="none" strike="noStrike">
              <a:solidFill>
                <a:srgbClr val="000000"/>
              </a:solidFill>
              <a:latin typeface="Abadi" panose="020B0604020104020204" pitchFamily="34" charset="0"/>
              <a:ea typeface="Calibri"/>
              <a:cs typeface="Calibri"/>
            </a:endParaRPr>
          </a:p>
        </xdr:txBody>
      </xdr:sp>
      <xdr:sp macro="" textlink="Analysis!C21">
        <xdr:nvSpPr>
          <xdr:cNvPr id="53" name="Rectangle: Rounded Corners 52">
            <a:extLst>
              <a:ext uri="{FF2B5EF4-FFF2-40B4-BE49-F238E27FC236}">
                <a16:creationId xmlns:a16="http://schemas.microsoft.com/office/drawing/2014/main" id="{48E6ECBF-B733-4F35-89F1-E6FD0B370103}"/>
              </a:ext>
            </a:extLst>
          </xdr:cNvPr>
          <xdr:cNvSpPr/>
        </xdr:nvSpPr>
        <xdr:spPr>
          <a:xfrm>
            <a:off x="33735459" y="5787633"/>
            <a:ext cx="1527048" cy="1280160"/>
          </a:xfrm>
          <a:prstGeom prst="roundRect">
            <a:avLst>
              <a:gd name="adj" fmla="val 3422"/>
            </a:avLst>
          </a:prstGeom>
          <a:solidFill>
            <a:srgbClr val="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15AAC0AF-A539-4057-816E-59C5E485EBD1}" type="TxLink">
              <a:rPr lang="en-US" sz="2000" b="1" i="0" u="none" strike="noStrike">
                <a:solidFill>
                  <a:srgbClr val="000000"/>
                </a:solidFill>
                <a:latin typeface="Abadi" panose="020B0604020104020204" pitchFamily="34" charset="0"/>
                <a:ea typeface="Calibri"/>
                <a:cs typeface="Calibri"/>
              </a:rPr>
              <a:pPr marL="0" indent="0" algn="ctr"/>
              <a:t>64:18:00</a:t>
            </a:fld>
            <a:endParaRPr lang="en-US" sz="2000" b="1" i="0" u="none" strike="noStrike">
              <a:solidFill>
                <a:srgbClr val="000000"/>
              </a:solidFill>
              <a:latin typeface="Abadi" panose="020B0604020104020204" pitchFamily="34" charset="0"/>
              <a:ea typeface="Calibri"/>
              <a:cs typeface="Calibri"/>
            </a:endParaRPr>
          </a:p>
        </xdr:txBody>
      </xdr:sp>
      <xdr:sp macro="" textlink="Analysis!AJ4">
        <xdr:nvSpPr>
          <xdr:cNvPr id="54" name="Rectangle: Rounded Corners 53">
            <a:extLst>
              <a:ext uri="{FF2B5EF4-FFF2-40B4-BE49-F238E27FC236}">
                <a16:creationId xmlns:a16="http://schemas.microsoft.com/office/drawing/2014/main" id="{936E9AE1-C138-4386-804A-30B6F90B458C}"/>
              </a:ext>
            </a:extLst>
          </xdr:cNvPr>
          <xdr:cNvSpPr/>
        </xdr:nvSpPr>
        <xdr:spPr>
          <a:xfrm>
            <a:off x="35307981" y="5787633"/>
            <a:ext cx="1527048" cy="1280160"/>
          </a:xfrm>
          <a:prstGeom prst="roundRect">
            <a:avLst>
              <a:gd name="adj" fmla="val 3422"/>
            </a:avLst>
          </a:prstGeom>
          <a:solidFill>
            <a:srgbClr val="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61DC0C0A-FBC7-4254-B1BA-79FEA954A2FE}" type="TxLink">
              <a:rPr lang="en-US" sz="2000" b="1" i="0" u="none" strike="noStrike">
                <a:solidFill>
                  <a:srgbClr val="000000"/>
                </a:solidFill>
                <a:latin typeface="Abadi" panose="020B0604020104020204" pitchFamily="34" charset="0"/>
                <a:ea typeface="Calibri"/>
                <a:cs typeface="Calibri"/>
              </a:rPr>
              <a:pPr algn="ctr"/>
              <a:t>0:36:32</a:t>
            </a:fld>
            <a:endParaRPr lang="en-US" sz="1400" b="1">
              <a:latin typeface="Abadi" panose="020B0604020104020204" pitchFamily="34" charset="0"/>
            </a:endParaRPr>
          </a:p>
        </xdr:txBody>
      </xdr:sp>
      <xdr:sp macro="" textlink="Analysis!AM4">
        <xdr:nvSpPr>
          <xdr:cNvPr id="55" name="Rectangle: Rounded Corners 54">
            <a:extLst>
              <a:ext uri="{FF2B5EF4-FFF2-40B4-BE49-F238E27FC236}">
                <a16:creationId xmlns:a16="http://schemas.microsoft.com/office/drawing/2014/main" id="{C16C0915-E67D-4FB5-B0B0-034272084D3C}"/>
              </a:ext>
            </a:extLst>
          </xdr:cNvPr>
          <xdr:cNvSpPr/>
        </xdr:nvSpPr>
        <xdr:spPr>
          <a:xfrm>
            <a:off x="36880503" y="5787633"/>
            <a:ext cx="1527048" cy="1280160"/>
          </a:xfrm>
          <a:prstGeom prst="roundRect">
            <a:avLst>
              <a:gd name="adj" fmla="val 3422"/>
            </a:avLst>
          </a:prstGeom>
          <a:solidFill>
            <a:srgbClr val="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AF6DF802-2D65-4262-8F0A-8393EDAE2FDF}" type="TxLink">
              <a:rPr lang="en-US" sz="4400" b="1" i="0" u="none" strike="noStrike">
                <a:solidFill>
                  <a:srgbClr val="000000"/>
                </a:solidFill>
                <a:latin typeface="Abadi" panose="020B0604020104020204" pitchFamily="34" charset="0"/>
                <a:ea typeface="Calibri"/>
                <a:cs typeface="Calibri"/>
              </a:rPr>
              <a:pPr marL="0" indent="0" algn="ctr"/>
              <a:t>38</a:t>
            </a:fld>
            <a:endParaRPr lang="en-US" sz="4400" b="1" i="0" u="none" strike="noStrike">
              <a:solidFill>
                <a:srgbClr val="000000"/>
              </a:solidFill>
              <a:latin typeface="Abadi" panose="020B0604020104020204" pitchFamily="34" charset="0"/>
              <a:ea typeface="Calibri"/>
              <a:cs typeface="Calibri"/>
            </a:endParaRPr>
          </a:p>
        </xdr:txBody>
      </xdr:sp>
      <xdr:grpSp>
        <xdr:nvGrpSpPr>
          <xdr:cNvPr id="77" name="Group 76">
            <a:extLst>
              <a:ext uri="{FF2B5EF4-FFF2-40B4-BE49-F238E27FC236}">
                <a16:creationId xmlns:a16="http://schemas.microsoft.com/office/drawing/2014/main" id="{F542DCBE-178F-F404-4C9D-0FF0037679CF}"/>
              </a:ext>
            </a:extLst>
          </xdr:cNvPr>
          <xdr:cNvGrpSpPr/>
        </xdr:nvGrpSpPr>
        <xdr:grpSpPr>
          <a:xfrm>
            <a:off x="25781745" y="5787633"/>
            <a:ext cx="1676400" cy="1280160"/>
            <a:chOff x="25781745" y="5787633"/>
            <a:chExt cx="1676400" cy="1280160"/>
          </a:xfrm>
        </xdr:grpSpPr>
        <xdr:grpSp>
          <xdr:nvGrpSpPr>
            <xdr:cNvPr id="72" name="Group 71">
              <a:extLst>
                <a:ext uri="{FF2B5EF4-FFF2-40B4-BE49-F238E27FC236}">
                  <a16:creationId xmlns:a16="http://schemas.microsoft.com/office/drawing/2014/main" id="{176EFDA0-20A7-24A1-EF48-13C08001B9D6}"/>
                </a:ext>
              </a:extLst>
            </xdr:cNvPr>
            <xdr:cNvGrpSpPr/>
          </xdr:nvGrpSpPr>
          <xdr:grpSpPr>
            <a:xfrm>
              <a:off x="25781745" y="5787633"/>
              <a:ext cx="1676400" cy="1280160"/>
              <a:chOff x="25863506" y="5787633"/>
              <a:chExt cx="1676400" cy="1280160"/>
            </a:xfrm>
          </xdr:grpSpPr>
          <xdr:sp macro="" textlink="">
            <xdr:nvSpPr>
              <xdr:cNvPr id="81" name="Rectangle: Rounded Corners 80">
                <a:extLst>
                  <a:ext uri="{FF2B5EF4-FFF2-40B4-BE49-F238E27FC236}">
                    <a16:creationId xmlns:a16="http://schemas.microsoft.com/office/drawing/2014/main" id="{89746356-0E1A-5A36-26A2-DCEB686DE240}"/>
                  </a:ext>
                </a:extLst>
              </xdr:cNvPr>
              <xdr:cNvSpPr/>
            </xdr:nvSpPr>
            <xdr:spPr>
              <a:xfrm>
                <a:off x="25938182" y="5787633"/>
                <a:ext cx="1527048" cy="1280160"/>
              </a:xfrm>
              <a:prstGeom prst="roundRect">
                <a:avLst>
                  <a:gd name="adj" fmla="val 3422"/>
                </a:avLst>
              </a:prstGeom>
              <a:solidFill>
                <a:srgbClr val="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900"/>
              </a:p>
            </xdr:txBody>
          </xdr:sp>
          <xdr:graphicFrame macro="">
            <xdr:nvGraphicFramePr>
              <xdr:cNvPr id="67" name="Chart 66">
                <a:extLst>
                  <a:ext uri="{FF2B5EF4-FFF2-40B4-BE49-F238E27FC236}">
                    <a16:creationId xmlns:a16="http://schemas.microsoft.com/office/drawing/2014/main" id="{21C83399-7B40-4270-810C-633BC4FCCD42}"/>
                  </a:ext>
                </a:extLst>
              </xdr:cNvPr>
              <xdr:cNvGraphicFramePr>
                <a:graphicFrameLocks noChangeAspect="1"/>
              </xdr:cNvGraphicFramePr>
            </xdr:nvGraphicFramePr>
            <xdr:xfrm>
              <a:off x="25863506" y="6007613"/>
              <a:ext cx="1676400" cy="1005840"/>
            </xdr:xfrm>
            <a:graphic>
              <a:graphicData uri="http://schemas.openxmlformats.org/drawingml/2006/chart">
                <c:chart xmlns:c="http://schemas.openxmlformats.org/drawingml/2006/chart" xmlns:r="http://schemas.openxmlformats.org/officeDocument/2006/relationships" r:id="rId8"/>
              </a:graphicData>
            </a:graphic>
          </xdr:graphicFrame>
        </xdr:grpSp>
        <xdr:sp macro="" textlink="Analysis!D12">
          <xdr:nvSpPr>
            <xdr:cNvPr id="74" name="TextBox 73">
              <a:extLst>
                <a:ext uri="{FF2B5EF4-FFF2-40B4-BE49-F238E27FC236}">
                  <a16:creationId xmlns:a16="http://schemas.microsoft.com/office/drawing/2014/main" id="{EE047823-AAC1-28B2-5E7C-47B878048D51}"/>
                </a:ext>
              </a:extLst>
            </xdr:cNvPr>
            <xdr:cNvSpPr txBox="1"/>
          </xdr:nvSpPr>
          <xdr:spPr>
            <a:xfrm>
              <a:off x="26330413" y="6356899"/>
              <a:ext cx="588513" cy="2970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856D9B95-004B-4505-800E-71C6CC8D982A}" type="TxLink">
                <a:rPr lang="en-US" sz="1400" b="1" i="0" u="none" strike="noStrike">
                  <a:solidFill>
                    <a:srgbClr val="000000"/>
                  </a:solidFill>
                  <a:latin typeface="Abadi" panose="020B0604020104020204" pitchFamily="34" charset="0"/>
                  <a:ea typeface="Calibri"/>
                  <a:cs typeface="Calibri"/>
                </a:rPr>
                <a:pPr/>
                <a:t>64%</a:t>
              </a:fld>
              <a:endParaRPr lang="en-US" sz="1400" b="1">
                <a:latin typeface="Abadi" panose="020B0604020104020204" pitchFamily="34" charset="0"/>
              </a:endParaRPr>
            </a:p>
          </xdr:txBody>
        </xdr:sp>
      </xdr:grpSp>
      <xdr:grpSp>
        <xdr:nvGrpSpPr>
          <xdr:cNvPr id="78" name="Group 77">
            <a:extLst>
              <a:ext uri="{FF2B5EF4-FFF2-40B4-BE49-F238E27FC236}">
                <a16:creationId xmlns:a16="http://schemas.microsoft.com/office/drawing/2014/main" id="{9A2528F9-78FE-BD03-102F-0B1A56539084}"/>
              </a:ext>
            </a:extLst>
          </xdr:cNvPr>
          <xdr:cNvGrpSpPr/>
        </xdr:nvGrpSpPr>
        <xdr:grpSpPr>
          <a:xfrm>
            <a:off x="27355598" y="5787633"/>
            <a:ext cx="1676400" cy="1280160"/>
            <a:chOff x="27355598" y="5787633"/>
            <a:chExt cx="1676400" cy="1280160"/>
          </a:xfrm>
        </xdr:grpSpPr>
        <xdr:grpSp>
          <xdr:nvGrpSpPr>
            <xdr:cNvPr id="73" name="Group 72">
              <a:extLst>
                <a:ext uri="{FF2B5EF4-FFF2-40B4-BE49-F238E27FC236}">
                  <a16:creationId xmlns:a16="http://schemas.microsoft.com/office/drawing/2014/main" id="{6E538D76-298E-D5DD-090A-312D00723A33}"/>
                </a:ext>
              </a:extLst>
            </xdr:cNvPr>
            <xdr:cNvGrpSpPr/>
          </xdr:nvGrpSpPr>
          <xdr:grpSpPr>
            <a:xfrm>
              <a:off x="27355598" y="5787633"/>
              <a:ext cx="1676400" cy="1280160"/>
              <a:chOff x="27425996" y="5804197"/>
              <a:chExt cx="1676400" cy="1280160"/>
            </a:xfrm>
          </xdr:grpSpPr>
          <xdr:sp macro="" textlink="">
            <xdr:nvSpPr>
              <xdr:cNvPr id="45" name="Rectangle: Rounded Corners 44">
                <a:extLst>
                  <a:ext uri="{FF2B5EF4-FFF2-40B4-BE49-F238E27FC236}">
                    <a16:creationId xmlns:a16="http://schemas.microsoft.com/office/drawing/2014/main" id="{3DB3CE42-105B-4BF2-8AC1-CBA812311C44}"/>
                  </a:ext>
                </a:extLst>
              </xdr:cNvPr>
              <xdr:cNvSpPr/>
            </xdr:nvSpPr>
            <xdr:spPr>
              <a:xfrm>
                <a:off x="27500672" y="5804197"/>
                <a:ext cx="1527048" cy="1280160"/>
              </a:xfrm>
              <a:prstGeom prst="roundRect">
                <a:avLst>
                  <a:gd name="adj" fmla="val 3422"/>
                </a:avLst>
              </a:prstGeom>
              <a:solidFill>
                <a:srgbClr val="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900"/>
              </a:p>
            </xdr:txBody>
          </xdr:sp>
          <xdr:graphicFrame macro="">
            <xdr:nvGraphicFramePr>
              <xdr:cNvPr id="68" name="Chart 67">
                <a:extLst>
                  <a:ext uri="{FF2B5EF4-FFF2-40B4-BE49-F238E27FC236}">
                    <a16:creationId xmlns:a16="http://schemas.microsoft.com/office/drawing/2014/main" id="{3D8DB77D-F8EA-4760-8D7D-DB1D1CFEBB53}"/>
                  </a:ext>
                </a:extLst>
              </xdr:cNvPr>
              <xdr:cNvGraphicFramePr>
                <a:graphicFrameLocks noChangeAspect="1"/>
              </xdr:cNvGraphicFramePr>
            </xdr:nvGraphicFramePr>
            <xdr:xfrm>
              <a:off x="27425996" y="6024177"/>
              <a:ext cx="1676400" cy="1005840"/>
            </xdr:xfrm>
            <a:graphic>
              <a:graphicData uri="http://schemas.openxmlformats.org/drawingml/2006/chart">
                <c:chart xmlns:c="http://schemas.openxmlformats.org/drawingml/2006/chart" xmlns:r="http://schemas.openxmlformats.org/officeDocument/2006/relationships" r:id="rId9"/>
              </a:graphicData>
            </a:graphic>
          </xdr:graphicFrame>
        </xdr:grpSp>
        <xdr:sp macro="" textlink="Analysis!D4">
          <xdr:nvSpPr>
            <xdr:cNvPr id="76" name="TextBox 75">
              <a:extLst>
                <a:ext uri="{FF2B5EF4-FFF2-40B4-BE49-F238E27FC236}">
                  <a16:creationId xmlns:a16="http://schemas.microsoft.com/office/drawing/2014/main" id="{8E3C366D-5DE4-09ED-143F-20B1664D5FAD}"/>
                </a:ext>
              </a:extLst>
            </xdr:cNvPr>
            <xdr:cNvSpPr txBox="1"/>
          </xdr:nvSpPr>
          <xdr:spPr>
            <a:xfrm>
              <a:off x="27924816" y="6356899"/>
              <a:ext cx="588513" cy="2970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marL="0" indent="0"/>
              <a:fld id="{CA13289A-1484-46AC-9622-BCB066A6B84D}" type="TxLink">
                <a:rPr lang="en-US" sz="1400" b="1" i="0" u="none" strike="noStrike">
                  <a:solidFill>
                    <a:srgbClr val="000000"/>
                  </a:solidFill>
                  <a:latin typeface="Abadi" panose="020B0604020104020204" pitchFamily="34" charset="0"/>
                  <a:ea typeface="Calibri"/>
                  <a:cs typeface="Calibri"/>
                </a:rPr>
                <a:pPr marL="0" indent="0"/>
                <a:t>36%</a:t>
              </a:fld>
              <a:endParaRPr lang="en-US" sz="1400" b="1" i="0" u="none" strike="noStrike">
                <a:solidFill>
                  <a:srgbClr val="000000"/>
                </a:solidFill>
                <a:latin typeface="Abadi" panose="020B0604020104020204" pitchFamily="34" charset="0"/>
                <a:ea typeface="Calibri"/>
                <a:cs typeface="Calibri"/>
              </a:endParaRPr>
            </a:p>
          </xdr:txBody>
        </xdr:sp>
      </xdr:grpSp>
    </xdr:grpSp>
    <xdr:clientData/>
  </xdr:twoCellAnchor>
  <xdr:twoCellAnchor>
    <xdr:from>
      <xdr:col>39</xdr:col>
      <xdr:colOff>638939</xdr:colOff>
      <xdr:row>32</xdr:row>
      <xdr:rowOff>1484</xdr:rowOff>
    </xdr:from>
    <xdr:to>
      <xdr:col>42</xdr:col>
      <xdr:colOff>73717</xdr:colOff>
      <xdr:row>33</xdr:row>
      <xdr:rowOff>181976</xdr:rowOff>
    </xdr:to>
    <xdr:sp macro="" textlink="">
      <xdr:nvSpPr>
        <xdr:cNvPr id="84" name="TextBox 83">
          <a:extLst>
            <a:ext uri="{FF2B5EF4-FFF2-40B4-BE49-F238E27FC236}">
              <a16:creationId xmlns:a16="http://schemas.microsoft.com/office/drawing/2014/main" id="{334A1CA9-7A0B-47DE-949F-ED82742802D9}"/>
            </a:ext>
          </a:extLst>
        </xdr:cNvPr>
        <xdr:cNvSpPr txBox="1"/>
      </xdr:nvSpPr>
      <xdr:spPr>
        <a:xfrm>
          <a:off x="25834635" y="5832441"/>
          <a:ext cx="1372908" cy="3627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r>
            <a:rPr lang="en-US" sz="600" b="1"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rPr>
            <a:t>PRODUCTION</a:t>
          </a:r>
        </a:p>
        <a:p>
          <a:pPr marL="0" indent="0"/>
          <a:r>
            <a:rPr lang="en-US" sz="800" b="1"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rPr>
            <a:t>EFFICIENCY RATE</a:t>
          </a:r>
        </a:p>
      </xdr:txBody>
    </xdr:sp>
    <xdr:clientData/>
  </xdr:twoCellAnchor>
  <xdr:twoCellAnchor>
    <xdr:from>
      <xdr:col>42</xdr:col>
      <xdr:colOff>302666</xdr:colOff>
      <xdr:row>32</xdr:row>
      <xdr:rowOff>1484</xdr:rowOff>
    </xdr:from>
    <xdr:to>
      <xdr:col>44</xdr:col>
      <xdr:colOff>383487</xdr:colOff>
      <xdr:row>33</xdr:row>
      <xdr:rowOff>181976</xdr:rowOff>
    </xdr:to>
    <xdr:sp macro="" textlink="">
      <xdr:nvSpPr>
        <xdr:cNvPr id="85" name="TextBox 84">
          <a:extLst>
            <a:ext uri="{FF2B5EF4-FFF2-40B4-BE49-F238E27FC236}">
              <a16:creationId xmlns:a16="http://schemas.microsoft.com/office/drawing/2014/main" id="{722E55A1-5F7B-43B9-9658-C87CE52FA3D4}"/>
            </a:ext>
          </a:extLst>
        </xdr:cNvPr>
        <xdr:cNvSpPr txBox="1"/>
      </xdr:nvSpPr>
      <xdr:spPr>
        <a:xfrm>
          <a:off x="27436492" y="5832441"/>
          <a:ext cx="1372908" cy="3627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r>
            <a:rPr lang="en-US" sz="600" b="1"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rPr>
            <a:t>PRODUCTION</a:t>
          </a:r>
        </a:p>
        <a:p>
          <a:pPr marL="0" indent="0"/>
          <a:r>
            <a:rPr lang="en-US" sz="700" b="1"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rPr>
            <a:t>INEFFICIENCY RATE</a:t>
          </a:r>
        </a:p>
      </xdr:txBody>
    </xdr:sp>
    <xdr:clientData/>
  </xdr:twoCellAnchor>
  <xdr:twoCellAnchor>
    <xdr:from>
      <xdr:col>44</xdr:col>
      <xdr:colOff>581909</xdr:colOff>
      <xdr:row>32</xdr:row>
      <xdr:rowOff>1484</xdr:rowOff>
    </xdr:from>
    <xdr:to>
      <xdr:col>47</xdr:col>
      <xdr:colOff>16687</xdr:colOff>
      <xdr:row>33</xdr:row>
      <xdr:rowOff>181976</xdr:rowOff>
    </xdr:to>
    <xdr:sp macro="" textlink="">
      <xdr:nvSpPr>
        <xdr:cNvPr id="93" name="TextBox 92">
          <a:extLst>
            <a:ext uri="{FF2B5EF4-FFF2-40B4-BE49-F238E27FC236}">
              <a16:creationId xmlns:a16="http://schemas.microsoft.com/office/drawing/2014/main" id="{1C374285-83E6-4ED0-9C2A-6093D6D23CBA}"/>
            </a:ext>
          </a:extLst>
        </xdr:cNvPr>
        <xdr:cNvSpPr txBox="1"/>
      </xdr:nvSpPr>
      <xdr:spPr>
        <a:xfrm>
          <a:off x="29007822" y="5832441"/>
          <a:ext cx="1372908" cy="3627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r>
            <a:rPr lang="en-US" sz="600" b="1"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rPr>
            <a:t>COUNT OF</a:t>
          </a:r>
        </a:p>
        <a:p>
          <a:pPr marL="0" indent="0"/>
          <a:r>
            <a:rPr lang="en-US" sz="800" b="1"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rPr>
            <a:t>PRODUCTION FAULT</a:t>
          </a:r>
        </a:p>
      </xdr:txBody>
    </xdr:sp>
    <xdr:clientData/>
  </xdr:twoCellAnchor>
  <xdr:twoCellAnchor>
    <xdr:from>
      <xdr:col>47</xdr:col>
      <xdr:colOff>245635</xdr:colOff>
      <xdr:row>32</xdr:row>
      <xdr:rowOff>1484</xdr:rowOff>
    </xdr:from>
    <xdr:to>
      <xdr:col>49</xdr:col>
      <xdr:colOff>413884</xdr:colOff>
      <xdr:row>34</xdr:row>
      <xdr:rowOff>548</xdr:rowOff>
    </xdr:to>
    <xdr:sp macro="" textlink="">
      <xdr:nvSpPr>
        <xdr:cNvPr id="94" name="TextBox 93">
          <a:extLst>
            <a:ext uri="{FF2B5EF4-FFF2-40B4-BE49-F238E27FC236}">
              <a16:creationId xmlns:a16="http://schemas.microsoft.com/office/drawing/2014/main" id="{E90B6CF8-A162-4412-9ED5-425F30D0CD2E}"/>
            </a:ext>
          </a:extLst>
        </xdr:cNvPr>
        <xdr:cNvSpPr txBox="1"/>
      </xdr:nvSpPr>
      <xdr:spPr>
        <a:xfrm>
          <a:off x="29024742" y="5807198"/>
          <a:ext cx="1392892" cy="3619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r>
            <a:rPr lang="en-US" sz="600" b="1"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rPr>
            <a:t>TOTAL</a:t>
          </a:r>
        </a:p>
        <a:p>
          <a:pPr marL="0" indent="0"/>
          <a:r>
            <a:rPr lang="en-US" sz="800" b="1"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rPr>
            <a:t>PRODUCTION DOWNTIME</a:t>
          </a:r>
        </a:p>
      </xdr:txBody>
    </xdr:sp>
    <xdr:clientData/>
  </xdr:twoCellAnchor>
  <xdr:twoCellAnchor>
    <xdr:from>
      <xdr:col>49</xdr:col>
      <xdr:colOff>518133</xdr:colOff>
      <xdr:row>32</xdr:row>
      <xdr:rowOff>1484</xdr:rowOff>
    </xdr:from>
    <xdr:to>
      <xdr:col>51</xdr:col>
      <xdr:colOff>598954</xdr:colOff>
      <xdr:row>33</xdr:row>
      <xdr:rowOff>181976</xdr:rowOff>
    </xdr:to>
    <xdr:sp macro="" textlink="">
      <xdr:nvSpPr>
        <xdr:cNvPr id="95" name="TextBox 94">
          <a:extLst>
            <a:ext uri="{FF2B5EF4-FFF2-40B4-BE49-F238E27FC236}">
              <a16:creationId xmlns:a16="http://schemas.microsoft.com/office/drawing/2014/main" id="{DFCDD564-D330-4A8D-A2E4-0B668A83883F}"/>
            </a:ext>
          </a:extLst>
        </xdr:cNvPr>
        <xdr:cNvSpPr txBox="1"/>
      </xdr:nvSpPr>
      <xdr:spPr>
        <a:xfrm>
          <a:off x="32174263" y="5832441"/>
          <a:ext cx="1372908" cy="3627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r>
            <a:rPr lang="en-US" sz="600" b="1"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rPr>
            <a:t>STANDARD</a:t>
          </a:r>
        </a:p>
        <a:p>
          <a:pPr marL="0" indent="0"/>
          <a:r>
            <a:rPr lang="en-US" sz="800" b="1"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rPr>
            <a:t>PRODUCTION TIME</a:t>
          </a:r>
        </a:p>
      </xdr:txBody>
    </xdr:sp>
    <xdr:clientData/>
  </xdr:twoCellAnchor>
  <xdr:twoCellAnchor>
    <xdr:from>
      <xdr:col>52</xdr:col>
      <xdr:colOff>148728</xdr:colOff>
      <xdr:row>32</xdr:row>
      <xdr:rowOff>1484</xdr:rowOff>
    </xdr:from>
    <xdr:to>
      <xdr:col>54</xdr:col>
      <xdr:colOff>229549</xdr:colOff>
      <xdr:row>33</xdr:row>
      <xdr:rowOff>181976</xdr:rowOff>
    </xdr:to>
    <xdr:sp macro="" textlink="">
      <xdr:nvSpPr>
        <xdr:cNvPr id="96" name="TextBox 95">
          <a:extLst>
            <a:ext uri="{FF2B5EF4-FFF2-40B4-BE49-F238E27FC236}">
              <a16:creationId xmlns:a16="http://schemas.microsoft.com/office/drawing/2014/main" id="{9FF07BB7-CED8-46BD-9B8A-6719C992D352}"/>
            </a:ext>
          </a:extLst>
        </xdr:cNvPr>
        <xdr:cNvSpPr txBox="1"/>
      </xdr:nvSpPr>
      <xdr:spPr>
        <a:xfrm>
          <a:off x="33742989" y="5832441"/>
          <a:ext cx="1372908" cy="3627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r>
            <a:rPr lang="en-US" sz="600" b="1"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rPr>
            <a:t>ACTUAL</a:t>
          </a:r>
        </a:p>
        <a:p>
          <a:pPr marL="0" indent="0"/>
          <a:r>
            <a:rPr lang="en-US" sz="800" b="1"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rPr>
            <a:t>PRODUCTION TIME</a:t>
          </a:r>
        </a:p>
      </xdr:txBody>
    </xdr:sp>
    <xdr:clientData/>
  </xdr:twoCellAnchor>
  <xdr:twoCellAnchor>
    <xdr:from>
      <xdr:col>54</xdr:col>
      <xdr:colOff>412943</xdr:colOff>
      <xdr:row>32</xdr:row>
      <xdr:rowOff>1484</xdr:rowOff>
    </xdr:from>
    <xdr:to>
      <xdr:col>56</xdr:col>
      <xdr:colOff>493764</xdr:colOff>
      <xdr:row>33</xdr:row>
      <xdr:rowOff>181976</xdr:rowOff>
    </xdr:to>
    <xdr:sp macro="" textlink="">
      <xdr:nvSpPr>
        <xdr:cNvPr id="97" name="TextBox 96">
          <a:extLst>
            <a:ext uri="{FF2B5EF4-FFF2-40B4-BE49-F238E27FC236}">
              <a16:creationId xmlns:a16="http://schemas.microsoft.com/office/drawing/2014/main" id="{BA3ABAF9-7309-4E05-B824-A30A42A049CE}"/>
            </a:ext>
          </a:extLst>
        </xdr:cNvPr>
        <xdr:cNvSpPr txBox="1"/>
      </xdr:nvSpPr>
      <xdr:spPr>
        <a:xfrm>
          <a:off x="35299291" y="5832441"/>
          <a:ext cx="1372908" cy="3627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r>
            <a:rPr lang="en-US" sz="600" b="1"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rPr>
            <a:t>AVERAGE</a:t>
          </a:r>
        </a:p>
        <a:p>
          <a:pPr marL="0" indent="0"/>
          <a:r>
            <a:rPr lang="en-US" sz="800" b="1"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rPr>
            <a:t>DOWNTIME</a:t>
          </a:r>
        </a:p>
      </xdr:txBody>
    </xdr:sp>
    <xdr:clientData/>
  </xdr:twoCellAnchor>
  <xdr:twoCellAnchor>
    <xdr:from>
      <xdr:col>57</xdr:col>
      <xdr:colOff>47680</xdr:colOff>
      <xdr:row>32</xdr:row>
      <xdr:rowOff>1484</xdr:rowOff>
    </xdr:from>
    <xdr:to>
      <xdr:col>59</xdr:col>
      <xdr:colOff>128501</xdr:colOff>
      <xdr:row>33</xdr:row>
      <xdr:rowOff>181976</xdr:rowOff>
    </xdr:to>
    <xdr:sp macro="" textlink="">
      <xdr:nvSpPr>
        <xdr:cNvPr id="98" name="TextBox 97">
          <a:extLst>
            <a:ext uri="{FF2B5EF4-FFF2-40B4-BE49-F238E27FC236}">
              <a16:creationId xmlns:a16="http://schemas.microsoft.com/office/drawing/2014/main" id="{505E8FC3-5DE4-4B2D-AED9-D4A1927384E6}"/>
            </a:ext>
          </a:extLst>
        </xdr:cNvPr>
        <xdr:cNvSpPr txBox="1"/>
      </xdr:nvSpPr>
      <xdr:spPr>
        <a:xfrm>
          <a:off x="36872158" y="5832441"/>
          <a:ext cx="1372908" cy="3627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r>
            <a:rPr lang="en-US" sz="800" b="1"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rPr>
            <a:t>BATCH COUNT</a:t>
          </a:r>
        </a:p>
      </xdr:txBody>
    </xdr:sp>
    <xdr:clientData/>
  </xdr:twoCellAnchor>
  <xdr:twoCellAnchor>
    <xdr:from>
      <xdr:col>49</xdr:col>
      <xdr:colOff>492456</xdr:colOff>
      <xdr:row>39</xdr:row>
      <xdr:rowOff>50352</xdr:rowOff>
    </xdr:from>
    <xdr:to>
      <xdr:col>53</xdr:col>
      <xdr:colOff>285750</xdr:colOff>
      <xdr:row>41</xdr:row>
      <xdr:rowOff>48626</xdr:rowOff>
    </xdr:to>
    <xdr:sp macro="" textlink="">
      <xdr:nvSpPr>
        <xdr:cNvPr id="99" name="TextBox 98">
          <a:extLst>
            <a:ext uri="{FF2B5EF4-FFF2-40B4-BE49-F238E27FC236}">
              <a16:creationId xmlns:a16="http://schemas.microsoft.com/office/drawing/2014/main" id="{8D3E20FF-B611-401C-B623-62CC92BE3C6F}"/>
            </a:ext>
          </a:extLst>
        </xdr:cNvPr>
        <xdr:cNvSpPr txBox="1"/>
      </xdr:nvSpPr>
      <xdr:spPr>
        <a:xfrm>
          <a:off x="30496206" y="7479852"/>
          <a:ext cx="2242580" cy="3792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r>
            <a:rPr lang="en-US" sz="800" b="1"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rPr>
            <a:t>DOWNTIME DISTRIBUTION BY OPERATOR</a:t>
          </a:r>
        </a:p>
      </xdr:txBody>
    </xdr:sp>
    <xdr:clientData/>
  </xdr:twoCellAnchor>
  <xdr:twoCellAnchor>
    <xdr:from>
      <xdr:col>54</xdr:col>
      <xdr:colOff>412941</xdr:colOff>
      <xdr:row>39</xdr:row>
      <xdr:rowOff>50352</xdr:rowOff>
    </xdr:from>
    <xdr:to>
      <xdr:col>59</xdr:col>
      <xdr:colOff>108857</xdr:colOff>
      <xdr:row>41</xdr:row>
      <xdr:rowOff>48626</xdr:rowOff>
    </xdr:to>
    <xdr:sp macro="" textlink="">
      <xdr:nvSpPr>
        <xdr:cNvPr id="100" name="TextBox 99">
          <a:extLst>
            <a:ext uri="{FF2B5EF4-FFF2-40B4-BE49-F238E27FC236}">
              <a16:creationId xmlns:a16="http://schemas.microsoft.com/office/drawing/2014/main" id="{CACB8DE9-FEAE-4D9D-90E4-9A9CDCFB60C4}"/>
            </a:ext>
          </a:extLst>
        </xdr:cNvPr>
        <xdr:cNvSpPr txBox="1"/>
      </xdr:nvSpPr>
      <xdr:spPr>
        <a:xfrm>
          <a:off x="33478298" y="7479852"/>
          <a:ext cx="2757523" cy="3792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r>
            <a:rPr lang="en-US" sz="800" b="1"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rPr>
            <a:t>DOWNTIME DISTRIBUTION BY ERROR CATEGORY</a:t>
          </a:r>
        </a:p>
      </xdr:txBody>
    </xdr:sp>
    <xdr:clientData/>
  </xdr:twoCellAnchor>
  <xdr:twoCellAnchor>
    <xdr:from>
      <xdr:col>42</xdr:col>
      <xdr:colOff>263026</xdr:colOff>
      <xdr:row>51</xdr:row>
      <xdr:rowOff>116613</xdr:rowOff>
    </xdr:from>
    <xdr:to>
      <xdr:col>46</xdr:col>
      <xdr:colOff>546652</xdr:colOff>
      <xdr:row>53</xdr:row>
      <xdr:rowOff>114887</xdr:rowOff>
    </xdr:to>
    <xdr:sp macro="" textlink="">
      <xdr:nvSpPr>
        <xdr:cNvPr id="103" name="TextBox 102">
          <a:extLst>
            <a:ext uri="{FF2B5EF4-FFF2-40B4-BE49-F238E27FC236}">
              <a16:creationId xmlns:a16="http://schemas.microsoft.com/office/drawing/2014/main" id="{BA8FAC8B-6669-4151-9C3F-BEE26BDB1A21}"/>
            </a:ext>
          </a:extLst>
        </xdr:cNvPr>
        <xdr:cNvSpPr txBox="1"/>
      </xdr:nvSpPr>
      <xdr:spPr>
        <a:xfrm>
          <a:off x="27396852" y="9409700"/>
          <a:ext cx="2867800" cy="3627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r>
            <a:rPr lang="en-US" sz="800" b="1"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rPr>
            <a:t>DOWNTIME DISTRIBUTION BY PRODUCTION ERROR</a:t>
          </a:r>
        </a:p>
      </xdr:txBody>
    </xdr:sp>
    <xdr:clientData/>
  </xdr:twoCellAnchor>
  <xdr:twoCellAnchor>
    <xdr:from>
      <xdr:col>52</xdr:col>
      <xdr:colOff>556230</xdr:colOff>
      <xdr:row>51</xdr:row>
      <xdr:rowOff>116613</xdr:rowOff>
    </xdr:from>
    <xdr:to>
      <xdr:col>57</xdr:col>
      <xdr:colOff>193813</xdr:colOff>
      <xdr:row>53</xdr:row>
      <xdr:rowOff>114887</xdr:rowOff>
    </xdr:to>
    <xdr:sp macro="" textlink="">
      <xdr:nvSpPr>
        <xdr:cNvPr id="104" name="TextBox 103">
          <a:extLst>
            <a:ext uri="{FF2B5EF4-FFF2-40B4-BE49-F238E27FC236}">
              <a16:creationId xmlns:a16="http://schemas.microsoft.com/office/drawing/2014/main" id="{33FA243A-9FAA-4DAC-9915-418ACA61EEFB}"/>
            </a:ext>
          </a:extLst>
        </xdr:cNvPr>
        <xdr:cNvSpPr txBox="1"/>
      </xdr:nvSpPr>
      <xdr:spPr>
        <a:xfrm>
          <a:off x="34150491" y="9409700"/>
          <a:ext cx="2867800" cy="3627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r>
            <a:rPr lang="en-US" sz="800" b="1"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rPr>
            <a:t>DOWNTIME TO STANDARD TIME RATIO</a:t>
          </a:r>
        </a:p>
      </xdr:txBody>
    </xdr:sp>
    <xdr:clientData/>
  </xdr:twoCellAnchor>
  <xdr:twoCellAnchor>
    <xdr:from>
      <xdr:col>40</xdr:col>
      <xdr:colOff>363248</xdr:colOff>
      <xdr:row>39</xdr:row>
      <xdr:rowOff>50352</xdr:rowOff>
    </xdr:from>
    <xdr:to>
      <xdr:col>44</xdr:col>
      <xdr:colOff>3314</xdr:colOff>
      <xdr:row>41</xdr:row>
      <xdr:rowOff>48626</xdr:rowOff>
    </xdr:to>
    <xdr:sp macro="" textlink="">
      <xdr:nvSpPr>
        <xdr:cNvPr id="105" name="TextBox 104">
          <a:extLst>
            <a:ext uri="{FF2B5EF4-FFF2-40B4-BE49-F238E27FC236}">
              <a16:creationId xmlns:a16="http://schemas.microsoft.com/office/drawing/2014/main" id="{CCC2ED08-A746-462F-8257-51F467D22A76}"/>
            </a:ext>
          </a:extLst>
        </xdr:cNvPr>
        <xdr:cNvSpPr txBox="1"/>
      </xdr:nvSpPr>
      <xdr:spPr>
        <a:xfrm>
          <a:off x="26204987" y="7156830"/>
          <a:ext cx="2224240" cy="3627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r>
            <a:rPr lang="en-US" sz="800" b="1"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rPr>
            <a:t>PRODUCTION FAULT TREND OVER TIME</a:t>
          </a:r>
        </a:p>
      </xdr:txBody>
    </xdr:sp>
    <xdr:clientData/>
  </xdr:twoCellAnchor>
  <xdr:twoCellAnchor>
    <xdr:from>
      <xdr:col>45</xdr:col>
      <xdr:colOff>283734</xdr:colOff>
      <xdr:row>39</xdr:row>
      <xdr:rowOff>50352</xdr:rowOff>
    </xdr:from>
    <xdr:to>
      <xdr:col>48</xdr:col>
      <xdr:colOff>569844</xdr:colOff>
      <xdr:row>41</xdr:row>
      <xdr:rowOff>48626</xdr:rowOff>
    </xdr:to>
    <xdr:sp macro="" textlink="">
      <xdr:nvSpPr>
        <xdr:cNvPr id="106" name="TextBox 105">
          <a:extLst>
            <a:ext uri="{FF2B5EF4-FFF2-40B4-BE49-F238E27FC236}">
              <a16:creationId xmlns:a16="http://schemas.microsoft.com/office/drawing/2014/main" id="{9F5A6947-31A4-4D40-933D-DC5129EACA3C}"/>
            </a:ext>
          </a:extLst>
        </xdr:cNvPr>
        <xdr:cNvSpPr txBox="1"/>
      </xdr:nvSpPr>
      <xdr:spPr>
        <a:xfrm>
          <a:off x="29355691" y="7156830"/>
          <a:ext cx="2224240" cy="3627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r>
            <a:rPr lang="en-US" sz="800" b="1"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rPr>
            <a:t>PRODUCTION DOWNTIME TREND</a:t>
          </a:r>
        </a:p>
      </xdr:txBody>
    </xdr:sp>
    <xdr:clientData/>
  </xdr:twoCellAnchor>
  <xdr:twoCellAnchor>
    <xdr:from>
      <xdr:col>40</xdr:col>
      <xdr:colOff>171090</xdr:colOff>
      <xdr:row>68</xdr:row>
      <xdr:rowOff>159683</xdr:rowOff>
    </xdr:from>
    <xdr:to>
      <xdr:col>42</xdr:col>
      <xdr:colOff>48869</xdr:colOff>
      <xdr:row>70</xdr:row>
      <xdr:rowOff>157958</xdr:rowOff>
    </xdr:to>
    <xdr:sp macro="" textlink="">
      <xdr:nvSpPr>
        <xdr:cNvPr id="115" name="TextBox 114">
          <a:extLst>
            <a:ext uri="{FF2B5EF4-FFF2-40B4-BE49-F238E27FC236}">
              <a16:creationId xmlns:a16="http://schemas.microsoft.com/office/drawing/2014/main" id="{D3ECAFE9-302C-4C3C-8C4D-24A74B7D63D5}"/>
            </a:ext>
          </a:extLst>
        </xdr:cNvPr>
        <xdr:cNvSpPr txBox="1"/>
      </xdr:nvSpPr>
      <xdr:spPr>
        <a:xfrm>
          <a:off x="26012829" y="12550466"/>
          <a:ext cx="1169866" cy="3627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r>
            <a:rPr lang="en-US" sz="800" b="1"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rPr>
            <a:t>OPERATOR ERROR</a:t>
          </a:r>
        </a:p>
      </xdr:txBody>
    </xdr:sp>
    <xdr:clientData/>
  </xdr:twoCellAnchor>
  <xdr:oneCellAnchor>
    <xdr:from>
      <xdr:col>56</xdr:col>
      <xdr:colOff>138792</xdr:colOff>
      <xdr:row>44</xdr:row>
      <xdr:rowOff>46265</xdr:rowOff>
    </xdr:from>
    <xdr:ext cx="805545" cy="242206"/>
    <xdr:sp macro="" textlink="Analysis!Z30">
      <xdr:nvSpPr>
        <xdr:cNvPr id="4" name="TextBox 3">
          <a:extLst>
            <a:ext uri="{FF2B5EF4-FFF2-40B4-BE49-F238E27FC236}">
              <a16:creationId xmlns:a16="http://schemas.microsoft.com/office/drawing/2014/main" id="{6A366B6A-9F89-42C7-98DF-E3A0BA8A0FBB}"/>
            </a:ext>
          </a:extLst>
        </xdr:cNvPr>
        <xdr:cNvSpPr txBox="1"/>
      </xdr:nvSpPr>
      <xdr:spPr>
        <a:xfrm>
          <a:off x="34428792" y="8428265"/>
          <a:ext cx="805545" cy="2422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65DA10D5-C20D-49C2-AACC-E91982779FB3}" type="TxLink">
            <a:rPr lang="en-US" sz="1200" b="0" i="0" u="none" strike="noStrike">
              <a:solidFill>
                <a:srgbClr val="000000"/>
              </a:solidFill>
              <a:latin typeface="Calibri"/>
              <a:ea typeface="Calibri"/>
              <a:cs typeface="Calibri"/>
            </a:rPr>
            <a:pPr/>
            <a:t>23:08:00</a:t>
          </a:fld>
          <a:endParaRPr lang="en-PH" sz="1400" b="0">
            <a:latin typeface="Abadi" panose="020B0604020104020204" pitchFamily="34" charset="0"/>
          </a:endParaRPr>
        </a:p>
      </xdr:txBody>
    </xdr:sp>
    <xdr:clientData/>
  </xdr:oneCellAnchor>
  <xdr:twoCellAnchor>
    <xdr:from>
      <xdr:col>58</xdr:col>
      <xdr:colOff>33338</xdr:colOff>
      <xdr:row>48</xdr:row>
      <xdr:rowOff>27099</xdr:rowOff>
    </xdr:from>
    <xdr:to>
      <xdr:col>59</xdr:col>
      <xdr:colOff>336394</xdr:colOff>
      <xdr:row>50</xdr:row>
      <xdr:rowOff>43543</xdr:rowOff>
    </xdr:to>
    <xdr:grpSp>
      <xdr:nvGrpSpPr>
        <xdr:cNvPr id="20" name="Group 19">
          <a:extLst>
            <a:ext uri="{FF2B5EF4-FFF2-40B4-BE49-F238E27FC236}">
              <a16:creationId xmlns:a16="http://schemas.microsoft.com/office/drawing/2014/main" id="{E06F4A0B-E485-BC8A-FC21-F58D7CD1443F}"/>
            </a:ext>
          </a:extLst>
        </xdr:cNvPr>
        <xdr:cNvGrpSpPr/>
      </xdr:nvGrpSpPr>
      <xdr:grpSpPr>
        <a:xfrm>
          <a:off x="35390138" y="8866299"/>
          <a:ext cx="912656" cy="384744"/>
          <a:chOff x="35390138" y="9199674"/>
          <a:chExt cx="912656" cy="397444"/>
        </a:xfrm>
      </xdr:grpSpPr>
      <xdr:sp macro="" textlink="">
        <xdr:nvSpPr>
          <xdr:cNvPr id="102" name="TextBox 101">
            <a:extLst>
              <a:ext uri="{FF2B5EF4-FFF2-40B4-BE49-F238E27FC236}">
                <a16:creationId xmlns:a16="http://schemas.microsoft.com/office/drawing/2014/main" id="{05ACB958-74FE-406F-9683-1B750DB9F08F}"/>
              </a:ext>
            </a:extLst>
          </xdr:cNvPr>
          <xdr:cNvSpPr txBox="1"/>
        </xdr:nvSpPr>
        <xdr:spPr>
          <a:xfrm>
            <a:off x="35413950" y="9199674"/>
            <a:ext cx="888844" cy="22054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r>
              <a:rPr lang="en-US" sz="500" b="1"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rPr>
              <a:t>OPERATOR ERROR</a:t>
            </a:r>
          </a:p>
        </xdr:txBody>
      </xdr:sp>
      <xdr:sp macro="" textlink="Analysis!Z21">
        <xdr:nvSpPr>
          <xdr:cNvPr id="3" name="TextBox 2">
            <a:extLst>
              <a:ext uri="{FF2B5EF4-FFF2-40B4-BE49-F238E27FC236}">
                <a16:creationId xmlns:a16="http://schemas.microsoft.com/office/drawing/2014/main" id="{A9031B59-897C-494B-B7A5-AA50F5658FE5}"/>
              </a:ext>
            </a:extLst>
          </xdr:cNvPr>
          <xdr:cNvSpPr txBox="1"/>
        </xdr:nvSpPr>
        <xdr:spPr>
          <a:xfrm>
            <a:off x="35398982" y="9354912"/>
            <a:ext cx="805545" cy="2422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CBF98AE5-9457-4001-B627-E6CA20015B4F}" type="TxLink">
              <a:rPr lang="en-US" sz="1100" b="0" i="0" u="none" strike="noStrike">
                <a:solidFill>
                  <a:srgbClr val="000000"/>
                </a:solidFill>
                <a:latin typeface="Calibri"/>
                <a:ea typeface="Calibri"/>
                <a:cs typeface="Calibri"/>
              </a:rPr>
              <a:pPr/>
              <a:t>12:56:00</a:t>
            </a:fld>
            <a:endParaRPr lang="en-PH" sz="1100"/>
          </a:p>
        </xdr:txBody>
      </xdr:sp>
      <xdr:sp macro="" textlink="">
        <xdr:nvSpPr>
          <xdr:cNvPr id="11" name="Oval 10">
            <a:extLst>
              <a:ext uri="{FF2B5EF4-FFF2-40B4-BE49-F238E27FC236}">
                <a16:creationId xmlns:a16="http://schemas.microsoft.com/office/drawing/2014/main" id="{EB88B859-9422-4ECF-7D9C-570FAE299898}"/>
              </a:ext>
            </a:extLst>
          </xdr:cNvPr>
          <xdr:cNvSpPr/>
        </xdr:nvSpPr>
        <xdr:spPr>
          <a:xfrm>
            <a:off x="35390138" y="9229725"/>
            <a:ext cx="85725" cy="85725"/>
          </a:xfrm>
          <a:prstGeom prst="ellipse">
            <a:avLst/>
          </a:prstGeom>
          <a:solidFill>
            <a:srgbClr val="FF5757"/>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grpSp>
    <xdr:clientData/>
  </xdr:twoCellAnchor>
  <xdr:twoCellAnchor>
    <xdr:from>
      <xdr:col>54</xdr:col>
      <xdr:colOff>138113</xdr:colOff>
      <xdr:row>48</xdr:row>
      <xdr:rowOff>27102</xdr:rowOff>
    </xdr:from>
    <xdr:to>
      <xdr:col>55</xdr:col>
      <xdr:colOff>441169</xdr:colOff>
      <xdr:row>50</xdr:row>
      <xdr:rowOff>43543</xdr:rowOff>
    </xdr:to>
    <xdr:grpSp>
      <xdr:nvGrpSpPr>
        <xdr:cNvPr id="22" name="Group 21">
          <a:extLst>
            <a:ext uri="{FF2B5EF4-FFF2-40B4-BE49-F238E27FC236}">
              <a16:creationId xmlns:a16="http://schemas.microsoft.com/office/drawing/2014/main" id="{D9212257-6E6E-438A-B845-BF7A5612E099}"/>
            </a:ext>
          </a:extLst>
        </xdr:cNvPr>
        <xdr:cNvGrpSpPr/>
      </xdr:nvGrpSpPr>
      <xdr:grpSpPr>
        <a:xfrm>
          <a:off x="33056513" y="8866302"/>
          <a:ext cx="912656" cy="384741"/>
          <a:chOff x="35390138" y="9199677"/>
          <a:chExt cx="912656" cy="397441"/>
        </a:xfrm>
      </xdr:grpSpPr>
      <xdr:sp macro="" textlink="">
        <xdr:nvSpPr>
          <xdr:cNvPr id="25" name="TextBox 24">
            <a:extLst>
              <a:ext uri="{FF2B5EF4-FFF2-40B4-BE49-F238E27FC236}">
                <a16:creationId xmlns:a16="http://schemas.microsoft.com/office/drawing/2014/main" id="{DE250C4C-E893-2F10-2075-2F94DFDD78B8}"/>
              </a:ext>
            </a:extLst>
          </xdr:cNvPr>
          <xdr:cNvSpPr txBox="1"/>
        </xdr:nvSpPr>
        <xdr:spPr>
          <a:xfrm>
            <a:off x="35413950" y="9199677"/>
            <a:ext cx="888844" cy="22054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r>
              <a:rPr lang="en-US" sz="500" b="1"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rPr>
              <a:t>NON OPERATOR ERROR</a:t>
            </a:r>
          </a:p>
        </xdr:txBody>
      </xdr:sp>
      <xdr:sp macro="" textlink="Analysis!Z22">
        <xdr:nvSpPr>
          <xdr:cNvPr id="26" name="TextBox 25">
            <a:extLst>
              <a:ext uri="{FF2B5EF4-FFF2-40B4-BE49-F238E27FC236}">
                <a16:creationId xmlns:a16="http://schemas.microsoft.com/office/drawing/2014/main" id="{31F25EF8-348C-92E0-8F04-F67A4C5B5B5F}"/>
              </a:ext>
            </a:extLst>
          </xdr:cNvPr>
          <xdr:cNvSpPr txBox="1"/>
        </xdr:nvSpPr>
        <xdr:spPr>
          <a:xfrm>
            <a:off x="35398982" y="9354912"/>
            <a:ext cx="805545" cy="2422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181633F5-37D0-460D-8A92-DB68DA467A99}" type="TxLink">
              <a:rPr lang="en-US" sz="1100" b="0" i="0" u="none" strike="noStrike">
                <a:solidFill>
                  <a:srgbClr val="000000"/>
                </a:solidFill>
                <a:latin typeface="Calibri"/>
                <a:ea typeface="Calibri"/>
                <a:cs typeface="Calibri"/>
              </a:rPr>
              <a:pPr/>
              <a:t>10:12:00</a:t>
            </a:fld>
            <a:endParaRPr lang="en-PH" sz="1100"/>
          </a:p>
        </xdr:txBody>
      </xdr:sp>
      <xdr:sp macro="" textlink="">
        <xdr:nvSpPr>
          <xdr:cNvPr id="27" name="Oval 26">
            <a:extLst>
              <a:ext uri="{FF2B5EF4-FFF2-40B4-BE49-F238E27FC236}">
                <a16:creationId xmlns:a16="http://schemas.microsoft.com/office/drawing/2014/main" id="{B7B77BA5-6777-AED7-3BFA-A024BCBF0811}"/>
              </a:ext>
            </a:extLst>
          </xdr:cNvPr>
          <xdr:cNvSpPr/>
        </xdr:nvSpPr>
        <xdr:spPr>
          <a:xfrm>
            <a:off x="35390138" y="9229725"/>
            <a:ext cx="85725" cy="85725"/>
          </a:xfrm>
          <a:prstGeom prst="ellipse">
            <a:avLst/>
          </a:prstGeom>
          <a:solidFill>
            <a:srgbClr val="FF8B8B"/>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grpSp>
    <xdr:clientData/>
  </xdr:twoCellAnchor>
  <xdr:twoCellAnchor>
    <xdr:from>
      <xdr:col>56</xdr:col>
      <xdr:colOff>549955</xdr:colOff>
      <xdr:row>28</xdr:row>
      <xdr:rowOff>34018</xdr:rowOff>
    </xdr:from>
    <xdr:to>
      <xdr:col>59</xdr:col>
      <xdr:colOff>328839</xdr:colOff>
      <xdr:row>30</xdr:row>
      <xdr:rowOff>90714</xdr:rowOff>
    </xdr:to>
    <xdr:grpSp>
      <xdr:nvGrpSpPr>
        <xdr:cNvPr id="44" name="Group 43">
          <a:extLst>
            <a:ext uri="{FF2B5EF4-FFF2-40B4-BE49-F238E27FC236}">
              <a16:creationId xmlns:a16="http://schemas.microsoft.com/office/drawing/2014/main" id="{F976B046-BA59-CE29-5E9D-3959A7F11ACA}"/>
            </a:ext>
          </a:extLst>
        </xdr:cNvPr>
        <xdr:cNvGrpSpPr/>
      </xdr:nvGrpSpPr>
      <xdr:grpSpPr>
        <a:xfrm>
          <a:off x="34687555" y="5190218"/>
          <a:ext cx="1607684" cy="424996"/>
          <a:chOff x="37595402" y="6724197"/>
          <a:chExt cx="1615848" cy="419553"/>
        </a:xfrm>
      </xdr:grpSpPr>
      <xdr:sp macro="[0]!ClearAllSlicerFilters" textlink="">
        <xdr:nvSpPr>
          <xdr:cNvPr id="41" name="Rectangle: Rounded Corners 40">
            <a:extLst>
              <a:ext uri="{FF2B5EF4-FFF2-40B4-BE49-F238E27FC236}">
                <a16:creationId xmlns:a16="http://schemas.microsoft.com/office/drawing/2014/main" id="{E8C78C0B-E772-A123-9921-DDFEA1142E5F}"/>
              </a:ext>
            </a:extLst>
          </xdr:cNvPr>
          <xdr:cNvSpPr/>
        </xdr:nvSpPr>
        <xdr:spPr>
          <a:xfrm>
            <a:off x="37595402" y="6724197"/>
            <a:ext cx="1615848" cy="419553"/>
          </a:xfrm>
          <a:prstGeom prst="roundRect">
            <a:avLst/>
          </a:prstGeom>
          <a:solidFill>
            <a:srgbClr val="EFEFE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pic macro="[0]!ClearAllSlicerFilters">
        <xdr:nvPicPr>
          <xdr:cNvPr id="28" name="Graphic 27">
            <a:extLst>
              <a:ext uri="{FF2B5EF4-FFF2-40B4-BE49-F238E27FC236}">
                <a16:creationId xmlns:a16="http://schemas.microsoft.com/office/drawing/2014/main" id="{F53C23DA-1A66-D4BC-5F1D-748CD579A709}"/>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38814379" y="6763885"/>
            <a:ext cx="340176" cy="340176"/>
          </a:xfrm>
          <a:prstGeom prst="rect">
            <a:avLst/>
          </a:prstGeom>
        </xdr:spPr>
      </xdr:pic>
      <xdr:sp macro="[0]!ClearAllSlicerFilters" textlink="">
        <xdr:nvSpPr>
          <xdr:cNvPr id="43" name="TextBox 42">
            <a:extLst>
              <a:ext uri="{FF2B5EF4-FFF2-40B4-BE49-F238E27FC236}">
                <a16:creationId xmlns:a16="http://schemas.microsoft.com/office/drawing/2014/main" id="{ADDAFED4-873F-4F97-17B3-8143040F96E7}"/>
              </a:ext>
            </a:extLst>
          </xdr:cNvPr>
          <xdr:cNvSpPr txBox="1"/>
        </xdr:nvSpPr>
        <xdr:spPr>
          <a:xfrm>
            <a:off x="37720134" y="6814911"/>
            <a:ext cx="1207634"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PH" sz="1100">
                <a:solidFill>
                  <a:srgbClr val="151F2E"/>
                </a:solidFill>
                <a:latin typeface="Arial" panose="020B0604020202020204" pitchFamily="34" charset="0"/>
                <a:cs typeface="Arial" panose="020B0604020202020204" pitchFamily="34" charset="0"/>
              </a:rPr>
              <a:t>Clear</a:t>
            </a:r>
            <a:r>
              <a:rPr lang="en-PH" sz="1100" baseline="0">
                <a:solidFill>
                  <a:srgbClr val="151F2E"/>
                </a:solidFill>
                <a:latin typeface="Arial" panose="020B0604020202020204" pitchFamily="34" charset="0"/>
                <a:cs typeface="Arial" panose="020B0604020202020204" pitchFamily="34" charset="0"/>
              </a:rPr>
              <a:t> All Filters</a:t>
            </a:r>
            <a:endParaRPr lang="en-PH" sz="1100">
              <a:solidFill>
                <a:srgbClr val="151F2E"/>
              </a:solidFill>
              <a:latin typeface="Arial" panose="020B0604020202020204" pitchFamily="34" charset="0"/>
              <a:cs typeface="Arial" panose="020B0604020202020204" pitchFamily="34" charset="0"/>
            </a:endParaRPr>
          </a:p>
        </xdr:txBody>
      </xdr:sp>
    </xdr:grpSp>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808.492849768518" backgroundQuery="1" createdVersion="8" refreshedVersion="8" minRefreshableVersion="3" recordCount="0" supportSubquery="1" supportAdvancedDrill="1" xr:uid="{8C5E1FC4-7ED3-405A-B00E-B1F2F26FAAD5}">
  <cacheSource type="external" connectionId="6"/>
  <cacheFields count="2">
    <cacheField name="[Downtime_Factors].[Description].[Description]" caption="Description" numFmtId="0" hierarchy="1" level="1">
      <sharedItems count="12">
        <s v="Batch Change"/>
        <s v="Batch Coding Error"/>
        <s v="Calibration Error"/>
        <s v="Conveyor Belt Jam"/>
        <s v="Emergency Stop"/>
        <s v="Inventory Shortage"/>
        <s v="Label Switch"/>
        <s v="Labeling Error"/>
        <s v="Machine Adjustment"/>
        <s v="Machine Failure"/>
        <s v="Other"/>
        <s v="Product Spill"/>
      </sharedItems>
    </cacheField>
    <cacheField name="[Downtime_Factors].[Operator Error].[Operator Error]" caption="Operator Error" numFmtId="0" hierarchy="2" level="1">
      <sharedItems count="2">
        <s v="Yes"/>
        <s v="No"/>
      </sharedItems>
    </cacheField>
  </cacheFields>
  <cacheHierarchies count="51">
    <cacheHierarchy uniqueName="[Downtime_Factors].[Factor]" caption="Factor" attribute="1" defaultMemberUniqueName="[Downtime_Factors].[Factor].[All]" allUniqueName="[Downtime_Factors].[Factor].[All]" dimensionUniqueName="[Downtime_Factors]" displayFolder="" count="0" memberValueDatatype="20" unbalanced="0"/>
    <cacheHierarchy uniqueName="[Downtime_Factors].[Description]" caption="Description" attribute="1" defaultMemberUniqueName="[Downtime_Factors].[Description].[All]" allUniqueName="[Downtime_Factors].[Description].[All]" dimensionUniqueName="[Downtime_Factors]" displayFolder="" count="2" memberValueDatatype="130" unbalanced="0">
      <fieldsUsage count="2">
        <fieldUsage x="-1"/>
        <fieldUsage x="0"/>
      </fieldsUsage>
    </cacheHierarchy>
    <cacheHierarchy uniqueName="[Downtime_Factors].[Operator Error]" caption="Operator Error" attribute="1" defaultMemberUniqueName="[Downtime_Factors].[Operator Error].[All]" allUniqueName="[Downtime_Factors].[Operator Error].[All]" dimensionUniqueName="[Downtime_Factors]" displayFolder="" count="2" memberValueDatatype="130" unbalanced="0">
      <fieldsUsage count="2">
        <fieldUsage x="-1"/>
        <fieldUsage x="1"/>
      </fieldsUsage>
    </cacheHierarchy>
    <cacheHierarchy uniqueName="[Line_Downtime].[Batch]" caption="Batch" attribute="1" defaultMemberUniqueName="[Line_Downtime].[Batch].[All]" allUniqueName="[Line_Downtime].[Batch].[All]" dimensionUniqueName="[Line_Downtime]" displayFolder="" count="0" memberValueDatatype="130" unbalanced="0"/>
    <cacheHierarchy uniqueName="[Line_Downtime].[Factor]" caption="Factor" attribute="1" defaultMemberUniqueName="[Line_Downtime].[Factor].[All]" allUniqueName="[Line_Downtime].[Factor].[All]" dimensionUniqueName="[Line_Downtime]" displayFolder="" count="0" memberValueDatatype="130" unbalanced="0"/>
    <cacheHierarchy uniqueName="[Line_Downtime].[Downtime]" caption="Downtime" attribute="1" defaultMemberUniqueName="[Line_Downtime].[Downtime].[All]" allUniqueName="[Line_Downtime].[Downtime].[All]" dimensionUniqueName="[Line_Downtime]" displayFolder="" count="0" memberValueDatatype="5" unbalanced="0"/>
    <cacheHierarchy uniqueName="[Line_Productivity].[Date]" caption="Date" attribute="1" time="1" defaultMemberUniqueName="[Line_Productivity].[Date].[All]" allUniqueName="[Line_Productivity].[Date].[All]" dimensionUniqueName="[Line_Productivity]" displayFolder="" count="0" memberValueDatatype="7" unbalanced="0"/>
    <cacheHierarchy uniqueName="[Line_Productivity].[Month]" caption="Month" attribute="1" defaultMemberUniqueName="[Line_Productivity].[Month].[All]" allUniqueName="[Line_Productivity].[Month].[All]" dimensionUniqueName="[Line_Productivity]" displayFolder="" count="0" memberValueDatatype="130" unbalanced="0"/>
    <cacheHierarchy uniqueName="[Line_Productivity].[Day]" caption="Day" attribute="1" defaultMemberUniqueName="[Line_Productivity].[Day].[All]" allUniqueName="[Line_Productivity].[Day].[All]" dimensionUniqueName="[Line_Productivity]" displayFolder="" count="0" memberValueDatatype="130" unbalanced="0"/>
    <cacheHierarchy uniqueName="[Line_Productivity].[Year]" caption="Year" attribute="1" defaultMemberUniqueName="[Line_Productivity].[Year].[All]" allUniqueName="[Line_Productivity].[Year].[All]" dimensionUniqueName="[Line_Productivity]" displayFolder="" count="0" memberValueDatatype="130" unbalanced="0"/>
    <cacheHierarchy uniqueName="[Line_Productivity].[Product]" caption="Product" attribute="1" defaultMemberUniqueName="[Line_Productivity].[Product].[All]" allUniqueName="[Line_Productivity].[Product].[All]" dimensionUniqueName="[Line_Productivity]" displayFolder="" count="0" memberValueDatatype="130" unbalanced="0"/>
    <cacheHierarchy uniqueName="[Line_Productivity].[Batch]" caption="Batch" attribute="1" defaultMemberUniqueName="[Line_Productivity].[Batch].[All]" allUniqueName="[Line_Productivity].[Batch].[All]" dimensionUniqueName="[Line_Productivity]" displayFolder="" count="0" memberValueDatatype="130" unbalanced="0"/>
    <cacheHierarchy uniqueName="[Line_Productivity].[Operator]" caption="Operator" attribute="1" defaultMemberUniqueName="[Line_Productivity].[Operator].[All]" allUniqueName="[Line_Productivity].[Operator].[All]" dimensionUniqueName="[Line_Productivity]" displayFolder="" count="0" memberValueDatatype="130" unbalanced="0"/>
    <cacheHierarchy uniqueName="[Line_Productivity].[Start Time]" caption="Start Time" attribute="1" time="1" defaultMemberUniqueName="[Line_Productivity].[Start Time].[All]" allUniqueName="[Line_Productivity].[Start Time].[All]" dimensionUniqueName="[Line_Productivity]" displayFolder="" count="0" memberValueDatatype="7" unbalanced="0"/>
    <cacheHierarchy uniqueName="[Line_Productivity].[End Time]" caption="End Time" attribute="1" time="1" defaultMemberUniqueName="[Line_Productivity].[End Time].[All]" allUniqueName="[Line_Productivity].[End Time].[All]" dimensionUniqueName="[Line_Productivity]" displayFolder="" count="0" memberValueDatatype="7" unbalanced="0"/>
    <cacheHierarchy uniqueName="[Line_Productivity].[Worked Hours]" caption="Worked Hours" attribute="1" defaultMemberUniqueName="[Line_Productivity].[Worked Hours].[All]" allUniqueName="[Line_Productivity].[Worked Hours].[All]" dimensionUniqueName="[Line_Productivity]" displayFolder="" count="0" memberValueDatatype="5" unbalanced="0"/>
    <cacheHierarchy uniqueName="[Line_Productivity].[Min Batch Time]" caption="Min Batch Time" attribute="1" defaultMemberUniqueName="[Line_Productivity].[Min Batch Time].[All]" allUniqueName="[Line_Productivity].[Min Batch Time].[All]" dimensionUniqueName="[Line_Productivity]" displayFolder="" count="0" memberValueDatatype="5" unbalanced="0"/>
    <cacheHierarchy uniqueName="[Line_Productivity].[Date (Month)]" caption="Date (Month)" attribute="1" defaultMemberUniqueName="[Line_Productivity].[Date (Month)].[All]" allUniqueName="[Line_Productivity].[Date (Month)].[All]" dimensionUniqueName="[Line_Productivity]" displayFolder="" count="0" memberValueDatatype="130" unbalanced="0"/>
    <cacheHierarchy uniqueName="[Product].[Product]" caption="Product" attribute="1" defaultMemberUniqueName="[Product].[Product].[All]" allUniqueName="[Product].[Product].[All]" dimensionUniqueName="[Product]" displayFolder="" count="0" memberValueDatatype="130" unbalanced="0"/>
    <cacheHierarchy uniqueName="[Product].[Flavor]" caption="Flavor" attribute="1" defaultMemberUniqueName="[Product].[Flavor].[All]" allUniqueName="[Product].[Flavor].[All]" dimensionUniqueName="[Product]" displayFolder="" count="0" memberValueDatatype="130" unbalanced="0"/>
    <cacheHierarchy uniqueName="[Product].[Size]" caption="Size" attribute="1" defaultMemberUniqueName="[Product].[Size].[All]" allUniqueName="[Product].[Size].[All]" dimensionUniqueName="[Product]" displayFolder="" count="0" memberValueDatatype="130" unbalanced="0"/>
    <cacheHierarchy uniqueName="[Product].[Min batch time]" caption="Min batch time" attribute="1" defaultMemberUniqueName="[Product].[Min batch time].[All]" allUniqueName="[Product].[Min batch time].[All]" dimensionUniqueName="[Product]" displayFolder="" count="0" memberValueDatatype="5" unbalanced="0"/>
    <cacheHierarchy uniqueName="[Line_Productivity].[Date (Month Index)]" caption="Date (Month Index)" attribute="1" defaultMemberUniqueName="[Line_Productivity].[Date (Month Index)].[All]" allUniqueName="[Line_Productivity].[Date (Month Index)].[All]" dimensionUniqueName="[Line_Productivity]" displayFolder="" count="0" memberValueDatatype="20" unbalanced="0" hidden="1"/>
    <cacheHierarchy uniqueName="[Measures].[Total Worked Hours]" caption="Total Worked Hours" measure="1" displayFolder="" measureGroup="Line_Productivity" count="0"/>
    <cacheHierarchy uniqueName="[Measures].[Total Min Batch Time]" caption="Total Min Batch Time" measure="1" displayFolder="" measureGroup="Line_Productivity" count="0"/>
    <cacheHierarchy uniqueName="[Measures].[Line Eff %]" caption="Line Eff %" measure="1" displayFolder="" measureGroup="Line_Productivity" count="0"/>
    <cacheHierarchy uniqueName="[Measures].[Total Downtime]" caption="Total Downtime" measure="1" displayFolder="" measureGroup="Line_Productivity" count="0"/>
    <cacheHierarchy uniqueName="[Measures].[Line ineff %]" caption="Line ineff %" measure="1" displayFolder="" measureGroup="Line_Productivity" count="0"/>
    <cacheHierarchy uniqueName="[Measures].[DOWNTIME RATIO]" caption="DOWNTIME RATIO" measure="1" displayFolder="" measureGroup="Line_Productivity" count="0"/>
    <cacheHierarchy uniqueName="[Measures].[STANDARD TIME RATIO]" caption="STANDARD TIME RATIO" measure="1" displayFolder="" measureGroup="Line_Productivity" count="0"/>
    <cacheHierarchy uniqueName="[Measures].[Total Batch Count]" caption="Total Batch Count" measure="1" displayFolder="" measureGroup="Line_Productivity" count="0"/>
    <cacheHierarchy uniqueName="[Measures].[AVE BATCH DOWNTIME]" caption="AVE BATCH DOWNTIME" measure="1" displayFolder="" measureGroup="Line_Productivity" count="0"/>
    <cacheHierarchy uniqueName="[Measures].[RATIO]" caption="RATIO" measure="1" displayFolder="" measureGroup="Line_Productivity" count="0"/>
    <cacheHierarchy uniqueName="[Measures].[ STANDARD TIME RATIO]" caption=" STANDARD TIME RATIO" measure="1" displayFolder="" measureGroup="Line_Productivity" count="0"/>
    <cacheHierarchy uniqueName="[Measures].[__XL_Count Product]" caption="__XL_Count Product" measure="1" displayFolder="" measureGroup="Product" count="0" hidden="1"/>
    <cacheHierarchy uniqueName="[Measures].[__XL_Count Downtime_Factors]" caption="__XL_Count Downtime_Factors" measure="1" displayFolder="" measureGroup="Downtime_Factors" count="0" hidden="1"/>
    <cacheHierarchy uniqueName="[Measures].[__XL_Count Line_Downtime]" caption="__XL_Count Line_Downtime" measure="1" displayFolder="" measureGroup="Line_Downtime" count="0" hidden="1"/>
    <cacheHierarchy uniqueName="[Measures].[__XL_Count Line_Productivity]" caption="__XL_Count Line_Productivity" measure="1" displayFolder="" measureGroup="Line_Productivity" count="0" hidden="1"/>
    <cacheHierarchy uniqueName="[Measures].[__No measures defined]" caption="__No measures defined" measure="1" displayFolder="" count="0" hidden="1"/>
    <cacheHierarchy uniqueName="[Measures].[Sum of Min batch time]" caption="Sum of Min batch time" measure="1" displayFolder="" measureGroup="Product" count="0" hidden="1">
      <extLst>
        <ext xmlns:x15="http://schemas.microsoft.com/office/spreadsheetml/2010/11/main" uri="{B97F6D7D-B522-45F9-BDA1-12C45D357490}">
          <x15:cacheHierarchy aggregatedColumn="21"/>
        </ext>
      </extLst>
    </cacheHierarchy>
    <cacheHierarchy uniqueName="[Measures].[Sum of Min Batch Time 2]" caption="Sum of Min Batch Time 2" measure="1" displayFolder="" measureGroup="Line_Productivity" count="0" hidden="1">
      <extLst>
        <ext xmlns:x15="http://schemas.microsoft.com/office/spreadsheetml/2010/11/main" uri="{B97F6D7D-B522-45F9-BDA1-12C45D357490}">
          <x15:cacheHierarchy aggregatedColumn="16"/>
        </ext>
      </extLst>
    </cacheHierarchy>
    <cacheHierarchy uniqueName="[Measures].[Sum of Worked Hours]" caption="Sum of Worked Hours" measure="1" displayFolder="" measureGroup="Line_Productivity" count="0" hidden="1">
      <extLst>
        <ext xmlns:x15="http://schemas.microsoft.com/office/spreadsheetml/2010/11/main" uri="{B97F6D7D-B522-45F9-BDA1-12C45D357490}">
          <x15:cacheHierarchy aggregatedColumn="15"/>
        </ext>
      </extLst>
    </cacheHierarchy>
    <cacheHierarchy uniqueName="[Measures].[Sum of Downtime]" caption="Sum of Downtime" measure="1" displayFolder="" measureGroup="Line_Downtime" count="0" hidden="1">
      <extLst>
        <ext xmlns:x15="http://schemas.microsoft.com/office/spreadsheetml/2010/11/main" uri="{B97F6D7D-B522-45F9-BDA1-12C45D357490}">
          <x15:cacheHierarchy aggregatedColumn="5"/>
        </ext>
      </extLst>
    </cacheHierarchy>
    <cacheHierarchy uniqueName="[Measures].[Count of Description]" caption="Count of Description" measure="1" displayFolder="" measureGroup="Downtime_Factors" count="0" hidden="1">
      <extLst>
        <ext xmlns:x15="http://schemas.microsoft.com/office/spreadsheetml/2010/11/main" uri="{B97F6D7D-B522-45F9-BDA1-12C45D357490}">
          <x15:cacheHierarchy aggregatedColumn="1"/>
        </ext>
      </extLst>
    </cacheHierarchy>
    <cacheHierarchy uniqueName="[Measures].[Count of Operator Error]" caption="Count of Operator Error" measure="1" displayFolder="" measureGroup="Downtime_Factors" count="0" hidden="1">
      <extLst>
        <ext xmlns:x15="http://schemas.microsoft.com/office/spreadsheetml/2010/11/main" uri="{B97F6D7D-B522-45F9-BDA1-12C45D357490}">
          <x15:cacheHierarchy aggregatedColumn="2"/>
        </ext>
      </extLst>
    </cacheHierarchy>
    <cacheHierarchy uniqueName="[Measures].[Count of Factor]" caption="Count of Factor" measure="1" displayFolder="" measureGroup="Line_Downtime" count="0" hidden="1">
      <extLst>
        <ext xmlns:x15="http://schemas.microsoft.com/office/spreadsheetml/2010/11/main" uri="{B97F6D7D-B522-45F9-BDA1-12C45D357490}">
          <x15:cacheHierarchy aggregatedColumn="4"/>
        </ext>
      </extLst>
    </cacheHierarchy>
    <cacheHierarchy uniqueName="[Measures].[Count of Batch]" caption="Count of Batch" measure="1" displayFolder="" measureGroup="Line_Productivity" count="0" hidden="1">
      <extLst>
        <ext xmlns:x15="http://schemas.microsoft.com/office/spreadsheetml/2010/11/main" uri="{B97F6D7D-B522-45F9-BDA1-12C45D357490}">
          <x15:cacheHierarchy aggregatedColumn="11"/>
        </ext>
      </extLst>
    </cacheHierarchy>
    <cacheHierarchy uniqueName="[Measures].[Count of Batch 2]" caption="Count of Batch 2" measure="1" displayFolder="" measureGroup="Line_Downtime" count="0" hidden="1">
      <extLst>
        <ext xmlns:x15="http://schemas.microsoft.com/office/spreadsheetml/2010/11/main" uri="{B97F6D7D-B522-45F9-BDA1-12C45D357490}">
          <x15:cacheHierarchy aggregatedColumn="3"/>
        </ext>
      </extLst>
    </cacheHierarchy>
    <cacheHierarchy uniqueName="[Measures].[Count of Product]" caption="Count of Product" measure="1" displayFolder="" measureGroup="Line_Productivity" count="0" hidden="1">
      <extLst>
        <ext xmlns:x15="http://schemas.microsoft.com/office/spreadsheetml/2010/11/main" uri="{B97F6D7D-B522-45F9-BDA1-12C45D357490}">
          <x15:cacheHierarchy aggregatedColumn="10"/>
        </ext>
      </extLst>
    </cacheHierarchy>
    <cacheHierarchy uniqueName="[Measures].[Sum of Factor]" caption="Sum of Factor" measure="1" displayFolder="" measureGroup="Downtime_Factors" count="0" hidden="1">
      <extLst>
        <ext xmlns:x15="http://schemas.microsoft.com/office/spreadsheetml/2010/11/main" uri="{B97F6D7D-B522-45F9-BDA1-12C45D357490}">
          <x15:cacheHierarchy aggregatedColumn="0"/>
        </ext>
      </extLst>
    </cacheHierarchy>
    <cacheHierarchy uniqueName="[Measures].[Count of Downtime]" caption="Count of Downtime" measure="1" displayFolder="" measureGroup="Line_Downtime" count="0" hidden="1">
      <extLst>
        <ext xmlns:x15="http://schemas.microsoft.com/office/spreadsheetml/2010/11/main" uri="{B97F6D7D-B522-45F9-BDA1-12C45D357490}">
          <x15:cacheHierarchy aggregatedColumn="5"/>
        </ext>
      </extLst>
    </cacheHierarchy>
  </cacheHierarchies>
  <kpis count="0"/>
  <dimensions count="5">
    <dimension name="Downtime_Factors" uniqueName="[Downtime_Factors]" caption="Downtime_Factors"/>
    <dimension name="Line_Downtime" uniqueName="[Line_Downtime]" caption="Line_Downtime"/>
    <dimension name="Line_Productivity" uniqueName="[Line_Productivity]" caption="Line_Productivity"/>
    <dimension measure="1" name="Measures" uniqueName="[Measures]" caption="Measures"/>
    <dimension name="Product" uniqueName="[Product]" caption="Product"/>
  </dimensions>
  <measureGroups count="4">
    <measureGroup name="Downtime_Factors" caption="Downtime_Factors"/>
    <measureGroup name="Line_Downtime" caption="Line_Downtime"/>
    <measureGroup name="Line_Productivity" caption="Line_Productivity"/>
    <measureGroup name="Product" caption="Product"/>
  </measureGroups>
  <maps count="8">
    <map measureGroup="0" dimension="0"/>
    <map measureGroup="1" dimension="0"/>
    <map measureGroup="1" dimension="1"/>
    <map measureGroup="1" dimension="2"/>
    <map measureGroup="1" dimension="4"/>
    <map measureGroup="2" dimension="2"/>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995.330185763887" backgroundQuery="1" createdVersion="8" refreshedVersion="8" minRefreshableVersion="3" recordCount="0" supportSubquery="1" supportAdvancedDrill="1" xr:uid="{1716CE41-4DC6-4325-92CE-F02AFF3C1072}">
  <cacheSource type="external" connectionId="6"/>
  <cacheFields count="2">
    <cacheField name="[Measures].[Total Downtime]" caption="Total Downtime" numFmtId="0" hierarchy="26" level="32767"/>
    <cacheField name="[Line_Productivity].[Month].[Month]" caption="Month" numFmtId="0" hierarchy="7" level="1">
      <sharedItems containsSemiMixedTypes="0" containsNonDate="0" containsString="0"/>
    </cacheField>
  </cacheFields>
  <cacheHierarchies count="51">
    <cacheHierarchy uniqueName="[Downtime_Factors].[Factor]" caption="Factor" attribute="1" defaultMemberUniqueName="[Downtime_Factors].[Factor].[All]" allUniqueName="[Downtime_Factors].[Factor].[All]" dimensionUniqueName="[Downtime_Factors]" displayFolder="" count="0" memberValueDatatype="20" unbalanced="0"/>
    <cacheHierarchy uniqueName="[Downtime_Factors].[Description]" caption="Description" attribute="1" defaultMemberUniqueName="[Downtime_Factors].[Description].[All]" allUniqueName="[Downtime_Factors].[Description].[All]" dimensionUniqueName="[Downtime_Factors]" displayFolder="" count="0" memberValueDatatype="130" unbalanced="0"/>
    <cacheHierarchy uniqueName="[Downtime_Factors].[Operator Error]" caption="Operator Error" attribute="1" defaultMemberUniqueName="[Downtime_Factors].[Operator Error].[All]" allUniqueName="[Downtime_Factors].[Operator Error].[All]" dimensionUniqueName="[Downtime_Factors]" displayFolder="" count="2" memberValueDatatype="130" unbalanced="0"/>
    <cacheHierarchy uniqueName="[Line_Downtime].[Batch]" caption="Batch" attribute="1" defaultMemberUniqueName="[Line_Downtime].[Batch].[All]" allUniqueName="[Line_Downtime].[Batch].[All]" dimensionUniqueName="[Line_Downtime]" displayFolder="" count="0" memberValueDatatype="130" unbalanced="0"/>
    <cacheHierarchy uniqueName="[Line_Downtime].[Factor]" caption="Factor" attribute="1" defaultMemberUniqueName="[Line_Downtime].[Factor].[All]" allUniqueName="[Line_Downtime].[Factor].[All]" dimensionUniqueName="[Line_Downtime]" displayFolder="" count="0" memberValueDatatype="130" unbalanced="0"/>
    <cacheHierarchy uniqueName="[Line_Downtime].[Downtime]" caption="Downtime" attribute="1" defaultMemberUniqueName="[Line_Downtime].[Downtime].[All]" allUniqueName="[Line_Downtime].[Downtime].[All]" dimensionUniqueName="[Line_Downtime]" displayFolder="" count="0" memberValueDatatype="5" unbalanced="0"/>
    <cacheHierarchy uniqueName="[Line_Productivity].[Date]" caption="Date" attribute="1" time="1" defaultMemberUniqueName="[Line_Productivity].[Date].[All]" allUniqueName="[Line_Productivity].[Date].[All]" dimensionUniqueName="[Line_Productivity]" displayFolder="" count="0" memberValueDatatype="7" unbalanced="0"/>
    <cacheHierarchy uniqueName="[Line_Productivity].[Month]" caption="Month" attribute="1" defaultMemberUniqueName="[Line_Productivity].[Month].[All]" allUniqueName="[Line_Productivity].[Month].[All]" dimensionUniqueName="[Line_Productivity]" displayFolder="" count="2" memberValueDatatype="130" unbalanced="0">
      <fieldsUsage count="2">
        <fieldUsage x="-1"/>
        <fieldUsage x="1"/>
      </fieldsUsage>
    </cacheHierarchy>
    <cacheHierarchy uniqueName="[Line_Productivity].[Day]" caption="Day" attribute="1" defaultMemberUniqueName="[Line_Productivity].[Day].[All]" allUniqueName="[Line_Productivity].[Day].[All]" dimensionUniqueName="[Line_Productivity]" displayFolder="" count="0" memberValueDatatype="130" unbalanced="0"/>
    <cacheHierarchy uniqueName="[Line_Productivity].[Year]" caption="Year" attribute="1" defaultMemberUniqueName="[Line_Productivity].[Year].[All]" allUniqueName="[Line_Productivity].[Year].[All]" dimensionUniqueName="[Line_Productivity]" displayFolder="" count="0" memberValueDatatype="130" unbalanced="0"/>
    <cacheHierarchy uniqueName="[Line_Productivity].[Product]" caption="Product" attribute="1" defaultMemberUniqueName="[Line_Productivity].[Product].[All]" allUniqueName="[Line_Productivity].[Product].[All]" dimensionUniqueName="[Line_Productivity]" displayFolder="" count="0" memberValueDatatype="130" unbalanced="0"/>
    <cacheHierarchy uniqueName="[Line_Productivity].[Batch]" caption="Batch" attribute="1" defaultMemberUniqueName="[Line_Productivity].[Batch].[All]" allUniqueName="[Line_Productivity].[Batch].[All]" dimensionUniqueName="[Line_Productivity]" displayFolder="" count="0" memberValueDatatype="130" unbalanced="0"/>
    <cacheHierarchy uniqueName="[Line_Productivity].[Operator]" caption="Operator" attribute="1" defaultMemberUniqueName="[Line_Productivity].[Operator].[All]" allUniqueName="[Line_Productivity].[Operator].[All]" dimensionUniqueName="[Line_Productivity]" displayFolder="" count="2" memberValueDatatype="130" unbalanced="0"/>
    <cacheHierarchy uniqueName="[Line_Productivity].[Start Time]" caption="Start Time" attribute="1" time="1" defaultMemberUniqueName="[Line_Productivity].[Start Time].[All]" allUniqueName="[Line_Productivity].[Start Time].[All]" dimensionUniqueName="[Line_Productivity]" displayFolder="" count="0" memberValueDatatype="7" unbalanced="0"/>
    <cacheHierarchy uniqueName="[Line_Productivity].[End Time]" caption="End Time" attribute="1" time="1" defaultMemberUniqueName="[Line_Productivity].[End Time].[All]" allUniqueName="[Line_Productivity].[End Time].[All]" dimensionUniqueName="[Line_Productivity]" displayFolder="" count="0" memberValueDatatype="7" unbalanced="0"/>
    <cacheHierarchy uniqueName="[Line_Productivity].[Worked Hours]" caption="Worked Hours" attribute="1" defaultMemberUniqueName="[Line_Productivity].[Worked Hours].[All]" allUniqueName="[Line_Productivity].[Worked Hours].[All]" dimensionUniqueName="[Line_Productivity]" displayFolder="" count="0" memberValueDatatype="5" unbalanced="0"/>
    <cacheHierarchy uniqueName="[Line_Productivity].[Min Batch Time]" caption="Min Batch Time" attribute="1" defaultMemberUniqueName="[Line_Productivity].[Min Batch Time].[All]" allUniqueName="[Line_Productivity].[Min Batch Time].[All]" dimensionUniqueName="[Line_Productivity]" displayFolder="" count="0" memberValueDatatype="5" unbalanced="0"/>
    <cacheHierarchy uniqueName="[Line_Productivity].[Date (Month)]" caption="Date (Month)" attribute="1" defaultMemberUniqueName="[Line_Productivity].[Date (Month)].[All]" allUniqueName="[Line_Productivity].[Date (Month)].[All]" dimensionUniqueName="[Line_Productivity]" displayFolder="" count="0" memberValueDatatype="130" unbalanced="0"/>
    <cacheHierarchy uniqueName="[Product].[Product]" caption="Product" attribute="1" defaultMemberUniqueName="[Product].[Product].[All]" allUniqueName="[Product].[Product].[All]" dimensionUniqueName="[Product]" displayFolder="" count="0" memberValueDatatype="130" unbalanced="0"/>
    <cacheHierarchy uniqueName="[Product].[Flavor]" caption="Flavor" attribute="1" defaultMemberUniqueName="[Product].[Flavor].[All]" allUniqueName="[Product].[Flavor].[All]" dimensionUniqueName="[Product]" displayFolder="" count="0" memberValueDatatype="130" unbalanced="0"/>
    <cacheHierarchy uniqueName="[Product].[Size]" caption="Size" attribute="1" defaultMemberUniqueName="[Product].[Size].[All]" allUniqueName="[Product].[Size].[All]" dimensionUniqueName="[Product]" displayFolder="" count="0" memberValueDatatype="130" unbalanced="0"/>
    <cacheHierarchy uniqueName="[Product].[Min batch time]" caption="Min batch time" attribute="1" defaultMemberUniqueName="[Product].[Min batch time].[All]" allUniqueName="[Product].[Min batch time].[All]" dimensionUniqueName="[Product]" displayFolder="" count="0" memberValueDatatype="5" unbalanced="0"/>
    <cacheHierarchy uniqueName="[Line_Productivity].[Date (Month Index)]" caption="Date (Month Index)" attribute="1" defaultMemberUniqueName="[Line_Productivity].[Date (Month Index)].[All]" allUniqueName="[Line_Productivity].[Date (Month Index)].[All]" dimensionUniqueName="[Line_Productivity]" displayFolder="" count="0" memberValueDatatype="20" unbalanced="0" hidden="1"/>
    <cacheHierarchy uniqueName="[Measures].[Total Worked Hours]" caption="Total Worked Hours" measure="1" displayFolder="" measureGroup="Line_Productivity" count="0"/>
    <cacheHierarchy uniqueName="[Measures].[Total Min Batch Time]" caption="Total Min Batch Time" measure="1" displayFolder="" measureGroup="Line_Productivity" count="0"/>
    <cacheHierarchy uniqueName="[Measures].[Line Eff %]" caption="Line Eff %" measure="1" displayFolder="" measureGroup="Line_Productivity" count="0"/>
    <cacheHierarchy uniqueName="[Measures].[Total Downtime]" caption="Total Downtime" measure="1" displayFolder="" measureGroup="Line_Productivity" count="0" oneField="1">
      <fieldsUsage count="1">
        <fieldUsage x="0"/>
      </fieldsUsage>
    </cacheHierarchy>
    <cacheHierarchy uniqueName="[Measures].[Line ineff %]" caption="Line ineff %" measure="1" displayFolder="" measureGroup="Line_Productivity" count="0"/>
    <cacheHierarchy uniqueName="[Measures].[DOWNTIME RATIO]" caption="DOWNTIME RATIO" measure="1" displayFolder="" measureGroup="Line_Productivity" count="0"/>
    <cacheHierarchy uniqueName="[Measures].[STANDARD TIME RATIO]" caption="STANDARD TIME RATIO" measure="1" displayFolder="" measureGroup="Line_Productivity" count="0"/>
    <cacheHierarchy uniqueName="[Measures].[Total Batch Count]" caption="Total Batch Count" measure="1" displayFolder="" measureGroup="Line_Productivity" count="0"/>
    <cacheHierarchy uniqueName="[Measures].[AVE BATCH DOWNTIME]" caption="AVE BATCH DOWNTIME" measure="1" displayFolder="" measureGroup="Line_Productivity" count="0"/>
    <cacheHierarchy uniqueName="[Measures].[RATIO]" caption="RATIO" measure="1" displayFolder="" measureGroup="Line_Productivity" count="0"/>
    <cacheHierarchy uniqueName="[Measures].[ STANDARD TIME RATIO]" caption=" STANDARD TIME RATIO" measure="1" displayFolder="" measureGroup="Line_Productivity" count="0"/>
    <cacheHierarchy uniqueName="[Measures].[__XL_Count Product]" caption="__XL_Count Product" measure="1" displayFolder="" measureGroup="Product" count="0" hidden="1"/>
    <cacheHierarchy uniqueName="[Measures].[__XL_Count Downtime_Factors]" caption="__XL_Count Downtime_Factors" measure="1" displayFolder="" measureGroup="Downtime_Factors" count="0" hidden="1"/>
    <cacheHierarchy uniqueName="[Measures].[__XL_Count Line_Downtime]" caption="__XL_Count Line_Downtime" measure="1" displayFolder="" measureGroup="Line_Downtime" count="0" hidden="1"/>
    <cacheHierarchy uniqueName="[Measures].[__XL_Count Line_Productivity]" caption="__XL_Count Line_Productivity" measure="1" displayFolder="" measureGroup="Line_Productivity" count="0" hidden="1"/>
    <cacheHierarchy uniqueName="[Measures].[__No measures defined]" caption="__No measures defined" measure="1" displayFolder="" count="0" hidden="1"/>
    <cacheHierarchy uniqueName="[Measures].[Sum of Min batch time]" caption="Sum of Min batch time" measure="1" displayFolder="" measureGroup="Product" count="0" hidden="1">
      <extLst>
        <ext xmlns:x15="http://schemas.microsoft.com/office/spreadsheetml/2010/11/main" uri="{B97F6D7D-B522-45F9-BDA1-12C45D357490}">
          <x15:cacheHierarchy aggregatedColumn="21"/>
        </ext>
      </extLst>
    </cacheHierarchy>
    <cacheHierarchy uniqueName="[Measures].[Sum of Min Batch Time 2]" caption="Sum of Min Batch Time 2" measure="1" displayFolder="" measureGroup="Line_Productivity" count="0" hidden="1">
      <extLst>
        <ext xmlns:x15="http://schemas.microsoft.com/office/spreadsheetml/2010/11/main" uri="{B97F6D7D-B522-45F9-BDA1-12C45D357490}">
          <x15:cacheHierarchy aggregatedColumn="16"/>
        </ext>
      </extLst>
    </cacheHierarchy>
    <cacheHierarchy uniqueName="[Measures].[Sum of Worked Hours]" caption="Sum of Worked Hours" measure="1" displayFolder="" measureGroup="Line_Productivity" count="0" hidden="1">
      <extLst>
        <ext xmlns:x15="http://schemas.microsoft.com/office/spreadsheetml/2010/11/main" uri="{B97F6D7D-B522-45F9-BDA1-12C45D357490}">
          <x15:cacheHierarchy aggregatedColumn="15"/>
        </ext>
      </extLst>
    </cacheHierarchy>
    <cacheHierarchy uniqueName="[Measures].[Sum of Downtime]" caption="Sum of Downtime" measure="1" displayFolder="" measureGroup="Line_Downtime" count="0" hidden="1">
      <extLst>
        <ext xmlns:x15="http://schemas.microsoft.com/office/spreadsheetml/2010/11/main" uri="{B97F6D7D-B522-45F9-BDA1-12C45D357490}">
          <x15:cacheHierarchy aggregatedColumn="5"/>
        </ext>
      </extLst>
    </cacheHierarchy>
    <cacheHierarchy uniqueName="[Measures].[Count of Description]" caption="Count of Description" measure="1" displayFolder="" measureGroup="Downtime_Factors" count="0" hidden="1">
      <extLst>
        <ext xmlns:x15="http://schemas.microsoft.com/office/spreadsheetml/2010/11/main" uri="{B97F6D7D-B522-45F9-BDA1-12C45D357490}">
          <x15:cacheHierarchy aggregatedColumn="1"/>
        </ext>
      </extLst>
    </cacheHierarchy>
    <cacheHierarchy uniqueName="[Measures].[Count of Operator Error]" caption="Count of Operator Error" measure="1" displayFolder="" measureGroup="Downtime_Factors" count="0" hidden="1">
      <extLst>
        <ext xmlns:x15="http://schemas.microsoft.com/office/spreadsheetml/2010/11/main" uri="{B97F6D7D-B522-45F9-BDA1-12C45D357490}">
          <x15:cacheHierarchy aggregatedColumn="2"/>
        </ext>
      </extLst>
    </cacheHierarchy>
    <cacheHierarchy uniqueName="[Measures].[Count of Factor]" caption="Count of Factor" measure="1" displayFolder="" measureGroup="Line_Downtime" count="0" hidden="1">
      <extLst>
        <ext xmlns:x15="http://schemas.microsoft.com/office/spreadsheetml/2010/11/main" uri="{B97F6D7D-B522-45F9-BDA1-12C45D357490}">
          <x15:cacheHierarchy aggregatedColumn="4"/>
        </ext>
      </extLst>
    </cacheHierarchy>
    <cacheHierarchy uniqueName="[Measures].[Count of Batch]" caption="Count of Batch" measure="1" displayFolder="" measureGroup="Line_Productivity" count="0" hidden="1">
      <extLst>
        <ext xmlns:x15="http://schemas.microsoft.com/office/spreadsheetml/2010/11/main" uri="{B97F6D7D-B522-45F9-BDA1-12C45D357490}">
          <x15:cacheHierarchy aggregatedColumn="11"/>
        </ext>
      </extLst>
    </cacheHierarchy>
    <cacheHierarchy uniqueName="[Measures].[Count of Batch 2]" caption="Count of Batch 2" measure="1" displayFolder="" measureGroup="Line_Downtime" count="0" hidden="1">
      <extLst>
        <ext xmlns:x15="http://schemas.microsoft.com/office/spreadsheetml/2010/11/main" uri="{B97F6D7D-B522-45F9-BDA1-12C45D357490}">
          <x15:cacheHierarchy aggregatedColumn="3"/>
        </ext>
      </extLst>
    </cacheHierarchy>
    <cacheHierarchy uniqueName="[Measures].[Count of Product]" caption="Count of Product" measure="1" displayFolder="" measureGroup="Line_Productivity" count="0" hidden="1">
      <extLst>
        <ext xmlns:x15="http://schemas.microsoft.com/office/spreadsheetml/2010/11/main" uri="{B97F6D7D-B522-45F9-BDA1-12C45D357490}">
          <x15:cacheHierarchy aggregatedColumn="10"/>
        </ext>
      </extLst>
    </cacheHierarchy>
    <cacheHierarchy uniqueName="[Measures].[Sum of Factor]" caption="Sum of Factor" measure="1" displayFolder="" measureGroup="Downtime_Factors" count="0" hidden="1">
      <extLst>
        <ext xmlns:x15="http://schemas.microsoft.com/office/spreadsheetml/2010/11/main" uri="{B97F6D7D-B522-45F9-BDA1-12C45D357490}">
          <x15:cacheHierarchy aggregatedColumn="0"/>
        </ext>
      </extLst>
    </cacheHierarchy>
    <cacheHierarchy uniqueName="[Measures].[Count of Downtime]" caption="Count of Downtime" measure="1" displayFolder="" measureGroup="Line_Downtime" count="0" hidden="1">
      <extLst>
        <ext xmlns:x15="http://schemas.microsoft.com/office/spreadsheetml/2010/11/main" uri="{B97F6D7D-B522-45F9-BDA1-12C45D357490}">
          <x15:cacheHierarchy aggregatedColumn="5"/>
        </ext>
      </extLst>
    </cacheHierarchy>
  </cacheHierarchies>
  <kpis count="0"/>
  <dimensions count="5">
    <dimension name="Downtime_Factors" uniqueName="[Downtime_Factors]" caption="Downtime_Factors"/>
    <dimension name="Line_Downtime" uniqueName="[Line_Downtime]" caption="Line_Downtime"/>
    <dimension name="Line_Productivity" uniqueName="[Line_Productivity]" caption="Line_Productivity"/>
    <dimension measure="1" name="Measures" uniqueName="[Measures]" caption="Measures"/>
    <dimension name="Product" uniqueName="[Product]" caption="Product"/>
  </dimensions>
  <measureGroups count="4">
    <measureGroup name="Downtime_Factors" caption="Downtime_Factors"/>
    <measureGroup name="Line_Downtime" caption="Line_Downtime"/>
    <measureGroup name="Line_Productivity" caption="Line_Productivity"/>
    <measureGroup name="Product" caption="Product"/>
  </measureGroups>
  <maps count="8">
    <map measureGroup="0" dimension="0"/>
    <map measureGroup="1" dimension="0"/>
    <map measureGroup="1" dimension="1"/>
    <map measureGroup="1" dimension="2"/>
    <map measureGroup="1" dimension="4"/>
    <map measureGroup="2" dimension="2"/>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995.330185879633" backgroundQuery="1" createdVersion="8" refreshedVersion="8" minRefreshableVersion="3" recordCount="0" supportSubquery="1" supportAdvancedDrill="1" xr:uid="{E5EE916D-4D51-494D-97A2-D73281C1B8D8}">
  <cacheSource type="external" connectionId="6"/>
  <cacheFields count="2">
    <cacheField name="[Measures].[Total Worked Hours]" caption="Total Worked Hours" numFmtId="0" hierarchy="23" level="32767"/>
    <cacheField name="[Line_Productivity].[Month].[Month]" caption="Month" numFmtId="0" hierarchy="7" level="1">
      <sharedItems containsSemiMixedTypes="0" containsNonDate="0" containsString="0"/>
    </cacheField>
  </cacheFields>
  <cacheHierarchies count="51">
    <cacheHierarchy uniqueName="[Downtime_Factors].[Factor]" caption="Factor" attribute="1" defaultMemberUniqueName="[Downtime_Factors].[Factor].[All]" allUniqueName="[Downtime_Factors].[Factor].[All]" dimensionUniqueName="[Downtime_Factors]" displayFolder="" count="0" memberValueDatatype="20" unbalanced="0"/>
    <cacheHierarchy uniqueName="[Downtime_Factors].[Description]" caption="Description" attribute="1" defaultMemberUniqueName="[Downtime_Factors].[Description].[All]" allUniqueName="[Downtime_Factors].[Description].[All]" dimensionUniqueName="[Downtime_Factors]" displayFolder="" count="0" memberValueDatatype="130" unbalanced="0"/>
    <cacheHierarchy uniqueName="[Downtime_Factors].[Operator Error]" caption="Operator Error" attribute="1" defaultMemberUniqueName="[Downtime_Factors].[Operator Error].[All]" allUniqueName="[Downtime_Factors].[Operator Error].[All]" dimensionUniqueName="[Downtime_Factors]" displayFolder="" count="2" memberValueDatatype="130" unbalanced="0"/>
    <cacheHierarchy uniqueName="[Line_Downtime].[Batch]" caption="Batch" attribute="1" defaultMemberUniqueName="[Line_Downtime].[Batch].[All]" allUniqueName="[Line_Downtime].[Batch].[All]" dimensionUniqueName="[Line_Downtime]" displayFolder="" count="0" memberValueDatatype="130" unbalanced="0"/>
    <cacheHierarchy uniqueName="[Line_Downtime].[Factor]" caption="Factor" attribute="1" defaultMemberUniqueName="[Line_Downtime].[Factor].[All]" allUniqueName="[Line_Downtime].[Factor].[All]" dimensionUniqueName="[Line_Downtime]" displayFolder="" count="0" memberValueDatatype="130" unbalanced="0"/>
    <cacheHierarchy uniqueName="[Line_Downtime].[Downtime]" caption="Downtime" attribute="1" defaultMemberUniqueName="[Line_Downtime].[Downtime].[All]" allUniqueName="[Line_Downtime].[Downtime].[All]" dimensionUniqueName="[Line_Downtime]" displayFolder="" count="0" memberValueDatatype="5" unbalanced="0"/>
    <cacheHierarchy uniqueName="[Line_Productivity].[Date]" caption="Date" attribute="1" time="1" defaultMemberUniqueName="[Line_Productivity].[Date].[All]" allUniqueName="[Line_Productivity].[Date].[All]" dimensionUniqueName="[Line_Productivity]" displayFolder="" count="0" memberValueDatatype="7" unbalanced="0"/>
    <cacheHierarchy uniqueName="[Line_Productivity].[Month]" caption="Month" attribute="1" defaultMemberUniqueName="[Line_Productivity].[Month].[All]" allUniqueName="[Line_Productivity].[Month].[All]" dimensionUniqueName="[Line_Productivity]" displayFolder="" count="2" memberValueDatatype="130" unbalanced="0">
      <fieldsUsage count="2">
        <fieldUsage x="-1"/>
        <fieldUsage x="1"/>
      </fieldsUsage>
    </cacheHierarchy>
    <cacheHierarchy uniqueName="[Line_Productivity].[Day]" caption="Day" attribute="1" defaultMemberUniqueName="[Line_Productivity].[Day].[All]" allUniqueName="[Line_Productivity].[Day].[All]" dimensionUniqueName="[Line_Productivity]" displayFolder="" count="0" memberValueDatatype="130" unbalanced="0"/>
    <cacheHierarchy uniqueName="[Line_Productivity].[Year]" caption="Year" attribute="1" defaultMemberUniqueName="[Line_Productivity].[Year].[All]" allUniqueName="[Line_Productivity].[Year].[All]" dimensionUniqueName="[Line_Productivity]" displayFolder="" count="0" memberValueDatatype="130" unbalanced="0"/>
    <cacheHierarchy uniqueName="[Line_Productivity].[Product]" caption="Product" attribute="1" defaultMemberUniqueName="[Line_Productivity].[Product].[All]" allUniqueName="[Line_Productivity].[Product].[All]" dimensionUniqueName="[Line_Productivity]" displayFolder="" count="0" memberValueDatatype="130" unbalanced="0"/>
    <cacheHierarchy uniqueName="[Line_Productivity].[Batch]" caption="Batch" attribute="1" defaultMemberUniqueName="[Line_Productivity].[Batch].[All]" allUniqueName="[Line_Productivity].[Batch].[All]" dimensionUniqueName="[Line_Productivity]" displayFolder="" count="0" memberValueDatatype="130" unbalanced="0"/>
    <cacheHierarchy uniqueName="[Line_Productivity].[Operator]" caption="Operator" attribute="1" defaultMemberUniqueName="[Line_Productivity].[Operator].[All]" allUniqueName="[Line_Productivity].[Operator].[All]" dimensionUniqueName="[Line_Productivity]" displayFolder="" count="2" memberValueDatatype="130" unbalanced="0"/>
    <cacheHierarchy uniqueName="[Line_Productivity].[Start Time]" caption="Start Time" attribute="1" time="1" defaultMemberUniqueName="[Line_Productivity].[Start Time].[All]" allUniqueName="[Line_Productivity].[Start Time].[All]" dimensionUniqueName="[Line_Productivity]" displayFolder="" count="0" memberValueDatatype="7" unbalanced="0"/>
    <cacheHierarchy uniqueName="[Line_Productivity].[End Time]" caption="End Time" attribute="1" time="1" defaultMemberUniqueName="[Line_Productivity].[End Time].[All]" allUniqueName="[Line_Productivity].[End Time].[All]" dimensionUniqueName="[Line_Productivity]" displayFolder="" count="0" memberValueDatatype="7" unbalanced="0"/>
    <cacheHierarchy uniqueName="[Line_Productivity].[Worked Hours]" caption="Worked Hours" attribute="1" defaultMemberUniqueName="[Line_Productivity].[Worked Hours].[All]" allUniqueName="[Line_Productivity].[Worked Hours].[All]" dimensionUniqueName="[Line_Productivity]" displayFolder="" count="0" memberValueDatatype="5" unbalanced="0"/>
    <cacheHierarchy uniqueName="[Line_Productivity].[Min Batch Time]" caption="Min Batch Time" attribute="1" defaultMemberUniqueName="[Line_Productivity].[Min Batch Time].[All]" allUniqueName="[Line_Productivity].[Min Batch Time].[All]" dimensionUniqueName="[Line_Productivity]" displayFolder="" count="0" memberValueDatatype="5" unbalanced="0"/>
    <cacheHierarchy uniqueName="[Line_Productivity].[Date (Month)]" caption="Date (Month)" attribute="1" defaultMemberUniqueName="[Line_Productivity].[Date (Month)].[All]" allUniqueName="[Line_Productivity].[Date (Month)].[All]" dimensionUniqueName="[Line_Productivity]" displayFolder="" count="0" memberValueDatatype="130" unbalanced="0"/>
    <cacheHierarchy uniqueName="[Product].[Product]" caption="Product" attribute="1" defaultMemberUniqueName="[Product].[Product].[All]" allUniqueName="[Product].[Product].[All]" dimensionUniqueName="[Product]" displayFolder="" count="0" memberValueDatatype="130" unbalanced="0"/>
    <cacheHierarchy uniqueName="[Product].[Flavor]" caption="Flavor" attribute="1" defaultMemberUniqueName="[Product].[Flavor].[All]" allUniqueName="[Product].[Flavor].[All]" dimensionUniqueName="[Product]" displayFolder="" count="0" memberValueDatatype="130" unbalanced="0"/>
    <cacheHierarchy uniqueName="[Product].[Size]" caption="Size" attribute="1" defaultMemberUniqueName="[Product].[Size].[All]" allUniqueName="[Product].[Size].[All]" dimensionUniqueName="[Product]" displayFolder="" count="0" memberValueDatatype="130" unbalanced="0"/>
    <cacheHierarchy uniqueName="[Product].[Min batch time]" caption="Min batch time" attribute="1" defaultMemberUniqueName="[Product].[Min batch time].[All]" allUniqueName="[Product].[Min batch time].[All]" dimensionUniqueName="[Product]" displayFolder="" count="0" memberValueDatatype="5" unbalanced="0"/>
    <cacheHierarchy uniqueName="[Line_Productivity].[Date (Month Index)]" caption="Date (Month Index)" attribute="1" defaultMemberUniqueName="[Line_Productivity].[Date (Month Index)].[All]" allUniqueName="[Line_Productivity].[Date (Month Index)].[All]" dimensionUniqueName="[Line_Productivity]" displayFolder="" count="0" memberValueDatatype="20" unbalanced="0" hidden="1"/>
    <cacheHierarchy uniqueName="[Measures].[Total Worked Hours]" caption="Total Worked Hours" measure="1" displayFolder="" measureGroup="Line_Productivity" count="0" oneField="1">
      <fieldsUsage count="1">
        <fieldUsage x="0"/>
      </fieldsUsage>
    </cacheHierarchy>
    <cacheHierarchy uniqueName="[Measures].[Total Min Batch Time]" caption="Total Min Batch Time" measure="1" displayFolder="" measureGroup="Line_Productivity" count="0"/>
    <cacheHierarchy uniqueName="[Measures].[Line Eff %]" caption="Line Eff %" measure="1" displayFolder="" measureGroup="Line_Productivity" count="0"/>
    <cacheHierarchy uniqueName="[Measures].[Total Downtime]" caption="Total Downtime" measure="1" displayFolder="" measureGroup="Line_Productivity" count="0"/>
    <cacheHierarchy uniqueName="[Measures].[Line ineff %]" caption="Line ineff %" measure="1" displayFolder="" measureGroup="Line_Productivity" count="0"/>
    <cacheHierarchy uniqueName="[Measures].[DOWNTIME RATIO]" caption="DOWNTIME RATIO" measure="1" displayFolder="" measureGroup="Line_Productivity" count="0"/>
    <cacheHierarchy uniqueName="[Measures].[STANDARD TIME RATIO]" caption="STANDARD TIME RATIO" measure="1" displayFolder="" measureGroup="Line_Productivity" count="0"/>
    <cacheHierarchy uniqueName="[Measures].[Total Batch Count]" caption="Total Batch Count" measure="1" displayFolder="" measureGroup="Line_Productivity" count="0"/>
    <cacheHierarchy uniqueName="[Measures].[AVE BATCH DOWNTIME]" caption="AVE BATCH DOWNTIME" measure="1" displayFolder="" measureGroup="Line_Productivity" count="0"/>
    <cacheHierarchy uniqueName="[Measures].[RATIO]" caption="RATIO" measure="1" displayFolder="" measureGroup="Line_Productivity" count="0"/>
    <cacheHierarchy uniqueName="[Measures].[ STANDARD TIME RATIO]" caption=" STANDARD TIME RATIO" measure="1" displayFolder="" measureGroup="Line_Productivity" count="0"/>
    <cacheHierarchy uniqueName="[Measures].[__XL_Count Product]" caption="__XL_Count Product" measure="1" displayFolder="" measureGroup="Product" count="0" hidden="1"/>
    <cacheHierarchy uniqueName="[Measures].[__XL_Count Downtime_Factors]" caption="__XL_Count Downtime_Factors" measure="1" displayFolder="" measureGroup="Downtime_Factors" count="0" hidden="1"/>
    <cacheHierarchy uniqueName="[Measures].[__XL_Count Line_Downtime]" caption="__XL_Count Line_Downtime" measure="1" displayFolder="" measureGroup="Line_Downtime" count="0" hidden="1"/>
    <cacheHierarchy uniqueName="[Measures].[__XL_Count Line_Productivity]" caption="__XL_Count Line_Productivity" measure="1" displayFolder="" measureGroup="Line_Productivity" count="0" hidden="1"/>
    <cacheHierarchy uniqueName="[Measures].[__No measures defined]" caption="__No measures defined" measure="1" displayFolder="" count="0" hidden="1"/>
    <cacheHierarchy uniqueName="[Measures].[Sum of Min batch time]" caption="Sum of Min batch time" measure="1" displayFolder="" measureGroup="Product" count="0" hidden="1">
      <extLst>
        <ext xmlns:x15="http://schemas.microsoft.com/office/spreadsheetml/2010/11/main" uri="{B97F6D7D-B522-45F9-BDA1-12C45D357490}">
          <x15:cacheHierarchy aggregatedColumn="21"/>
        </ext>
      </extLst>
    </cacheHierarchy>
    <cacheHierarchy uniqueName="[Measures].[Sum of Min Batch Time 2]" caption="Sum of Min Batch Time 2" measure="1" displayFolder="" measureGroup="Line_Productivity" count="0" hidden="1">
      <extLst>
        <ext xmlns:x15="http://schemas.microsoft.com/office/spreadsheetml/2010/11/main" uri="{B97F6D7D-B522-45F9-BDA1-12C45D357490}">
          <x15:cacheHierarchy aggregatedColumn="16"/>
        </ext>
      </extLst>
    </cacheHierarchy>
    <cacheHierarchy uniqueName="[Measures].[Sum of Worked Hours]" caption="Sum of Worked Hours" measure="1" displayFolder="" measureGroup="Line_Productivity" count="0" hidden="1">
      <extLst>
        <ext xmlns:x15="http://schemas.microsoft.com/office/spreadsheetml/2010/11/main" uri="{B97F6D7D-B522-45F9-BDA1-12C45D357490}">
          <x15:cacheHierarchy aggregatedColumn="15"/>
        </ext>
      </extLst>
    </cacheHierarchy>
    <cacheHierarchy uniqueName="[Measures].[Sum of Downtime]" caption="Sum of Downtime" measure="1" displayFolder="" measureGroup="Line_Downtime" count="0" hidden="1">
      <extLst>
        <ext xmlns:x15="http://schemas.microsoft.com/office/spreadsheetml/2010/11/main" uri="{B97F6D7D-B522-45F9-BDA1-12C45D357490}">
          <x15:cacheHierarchy aggregatedColumn="5"/>
        </ext>
      </extLst>
    </cacheHierarchy>
    <cacheHierarchy uniqueName="[Measures].[Count of Description]" caption="Count of Description" measure="1" displayFolder="" measureGroup="Downtime_Factors" count="0" hidden="1">
      <extLst>
        <ext xmlns:x15="http://schemas.microsoft.com/office/spreadsheetml/2010/11/main" uri="{B97F6D7D-B522-45F9-BDA1-12C45D357490}">
          <x15:cacheHierarchy aggregatedColumn="1"/>
        </ext>
      </extLst>
    </cacheHierarchy>
    <cacheHierarchy uniqueName="[Measures].[Count of Operator Error]" caption="Count of Operator Error" measure="1" displayFolder="" measureGroup="Downtime_Factors" count="0" hidden="1">
      <extLst>
        <ext xmlns:x15="http://schemas.microsoft.com/office/spreadsheetml/2010/11/main" uri="{B97F6D7D-B522-45F9-BDA1-12C45D357490}">
          <x15:cacheHierarchy aggregatedColumn="2"/>
        </ext>
      </extLst>
    </cacheHierarchy>
    <cacheHierarchy uniqueName="[Measures].[Count of Factor]" caption="Count of Factor" measure="1" displayFolder="" measureGroup="Line_Downtime" count="0" hidden="1">
      <extLst>
        <ext xmlns:x15="http://schemas.microsoft.com/office/spreadsheetml/2010/11/main" uri="{B97F6D7D-B522-45F9-BDA1-12C45D357490}">
          <x15:cacheHierarchy aggregatedColumn="4"/>
        </ext>
      </extLst>
    </cacheHierarchy>
    <cacheHierarchy uniqueName="[Measures].[Count of Batch]" caption="Count of Batch" measure="1" displayFolder="" measureGroup="Line_Productivity" count="0" hidden="1">
      <extLst>
        <ext xmlns:x15="http://schemas.microsoft.com/office/spreadsheetml/2010/11/main" uri="{B97F6D7D-B522-45F9-BDA1-12C45D357490}">
          <x15:cacheHierarchy aggregatedColumn="11"/>
        </ext>
      </extLst>
    </cacheHierarchy>
    <cacheHierarchy uniqueName="[Measures].[Count of Batch 2]" caption="Count of Batch 2" measure="1" displayFolder="" measureGroup="Line_Downtime" count="0" hidden="1">
      <extLst>
        <ext xmlns:x15="http://schemas.microsoft.com/office/spreadsheetml/2010/11/main" uri="{B97F6D7D-B522-45F9-BDA1-12C45D357490}">
          <x15:cacheHierarchy aggregatedColumn="3"/>
        </ext>
      </extLst>
    </cacheHierarchy>
    <cacheHierarchy uniqueName="[Measures].[Count of Product]" caption="Count of Product" measure="1" displayFolder="" measureGroup="Line_Productivity" count="0" hidden="1">
      <extLst>
        <ext xmlns:x15="http://schemas.microsoft.com/office/spreadsheetml/2010/11/main" uri="{B97F6D7D-B522-45F9-BDA1-12C45D357490}">
          <x15:cacheHierarchy aggregatedColumn="10"/>
        </ext>
      </extLst>
    </cacheHierarchy>
    <cacheHierarchy uniqueName="[Measures].[Sum of Factor]" caption="Sum of Factor" measure="1" displayFolder="" measureGroup="Downtime_Factors" count="0" hidden="1">
      <extLst>
        <ext xmlns:x15="http://schemas.microsoft.com/office/spreadsheetml/2010/11/main" uri="{B97F6D7D-B522-45F9-BDA1-12C45D357490}">
          <x15:cacheHierarchy aggregatedColumn="0"/>
        </ext>
      </extLst>
    </cacheHierarchy>
    <cacheHierarchy uniqueName="[Measures].[Count of Downtime]" caption="Count of Downtime" measure="1" displayFolder="" measureGroup="Line_Downtime" count="0" hidden="1">
      <extLst>
        <ext xmlns:x15="http://schemas.microsoft.com/office/spreadsheetml/2010/11/main" uri="{B97F6D7D-B522-45F9-BDA1-12C45D357490}">
          <x15:cacheHierarchy aggregatedColumn="5"/>
        </ext>
      </extLst>
    </cacheHierarchy>
  </cacheHierarchies>
  <kpis count="0"/>
  <dimensions count="5">
    <dimension name="Downtime_Factors" uniqueName="[Downtime_Factors]" caption="Downtime_Factors"/>
    <dimension name="Line_Downtime" uniqueName="[Line_Downtime]" caption="Line_Downtime"/>
    <dimension name="Line_Productivity" uniqueName="[Line_Productivity]" caption="Line_Productivity"/>
    <dimension measure="1" name="Measures" uniqueName="[Measures]" caption="Measures"/>
    <dimension name="Product" uniqueName="[Product]" caption="Product"/>
  </dimensions>
  <measureGroups count="4">
    <measureGroup name="Downtime_Factors" caption="Downtime_Factors"/>
    <measureGroup name="Line_Downtime" caption="Line_Downtime"/>
    <measureGroup name="Line_Productivity" caption="Line_Productivity"/>
    <measureGroup name="Product" caption="Product"/>
  </measureGroups>
  <maps count="8">
    <map measureGroup="0" dimension="0"/>
    <map measureGroup="1" dimension="0"/>
    <map measureGroup="1" dimension="1"/>
    <map measureGroup="1" dimension="2"/>
    <map measureGroup="1" dimension="4"/>
    <map measureGroup="2" dimension="2"/>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995.330187384257" backgroundQuery="1" createdVersion="8" refreshedVersion="8" minRefreshableVersion="3" recordCount="0" supportSubquery="1" supportAdvancedDrill="1" xr:uid="{D3A0EEAB-B6BF-4E80-8838-74AA631DF4DC}">
  <cacheSource type="external" connectionId="6"/>
  <cacheFields count="5">
    <cacheField name="[Product].[Product].[Product]" caption="Product" numFmtId="0" hierarchy="18" level="1">
      <sharedItems count="6">
        <s v="CO-2L"/>
        <s v="CO-600"/>
        <s v="DC-600"/>
        <s v="LE-600"/>
        <s v="OR-600"/>
        <s v="RB-600"/>
      </sharedItems>
    </cacheField>
    <cacheField name="[Measures].[Total Downtime]" caption="Total Downtime" numFmtId="0" hierarchy="26" level="32767"/>
    <cacheField name="[Measures].[Total Min Batch Time]" caption="Total Min Batch Time" numFmtId="0" hierarchy="24" level="32767"/>
    <cacheField name="[Measures].[Total Worked Hours]" caption="Total Worked Hours" numFmtId="0" hierarchy="23" level="32767"/>
    <cacheField name="[Line_Productivity].[Month].[Month]" caption="Month" numFmtId="0" hierarchy="7" level="1">
      <sharedItems containsSemiMixedTypes="0" containsNonDate="0" containsString="0"/>
    </cacheField>
  </cacheFields>
  <cacheHierarchies count="51">
    <cacheHierarchy uniqueName="[Downtime_Factors].[Factor]" caption="Factor" attribute="1" defaultMemberUniqueName="[Downtime_Factors].[Factor].[All]" allUniqueName="[Downtime_Factors].[Factor].[All]" dimensionUniqueName="[Downtime_Factors]" displayFolder="" count="0" memberValueDatatype="20" unbalanced="0"/>
    <cacheHierarchy uniqueName="[Downtime_Factors].[Description]" caption="Description" attribute="1" defaultMemberUniqueName="[Downtime_Factors].[Description].[All]" allUniqueName="[Downtime_Factors].[Description].[All]" dimensionUniqueName="[Downtime_Factors]" displayFolder="" count="0" memberValueDatatype="130" unbalanced="0"/>
    <cacheHierarchy uniqueName="[Downtime_Factors].[Operator Error]" caption="Operator Error" attribute="1" defaultMemberUniqueName="[Downtime_Factors].[Operator Error].[All]" allUniqueName="[Downtime_Factors].[Operator Error].[All]" dimensionUniqueName="[Downtime_Factors]" displayFolder="" count="2" memberValueDatatype="130" unbalanced="0"/>
    <cacheHierarchy uniqueName="[Line_Downtime].[Batch]" caption="Batch" attribute="1" defaultMemberUniqueName="[Line_Downtime].[Batch].[All]" allUniqueName="[Line_Downtime].[Batch].[All]" dimensionUniqueName="[Line_Downtime]" displayFolder="" count="0" memberValueDatatype="130" unbalanced="0"/>
    <cacheHierarchy uniqueName="[Line_Downtime].[Factor]" caption="Factor" attribute="1" defaultMemberUniqueName="[Line_Downtime].[Factor].[All]" allUniqueName="[Line_Downtime].[Factor].[All]" dimensionUniqueName="[Line_Downtime]" displayFolder="" count="0" memberValueDatatype="130" unbalanced="0"/>
    <cacheHierarchy uniqueName="[Line_Downtime].[Downtime]" caption="Downtime" attribute="1" defaultMemberUniqueName="[Line_Downtime].[Downtime].[All]" allUniqueName="[Line_Downtime].[Downtime].[All]" dimensionUniqueName="[Line_Downtime]" displayFolder="" count="0" memberValueDatatype="5" unbalanced="0"/>
    <cacheHierarchy uniqueName="[Line_Productivity].[Date]" caption="Date" attribute="1" time="1" defaultMemberUniqueName="[Line_Productivity].[Date].[All]" allUniqueName="[Line_Productivity].[Date].[All]" dimensionUniqueName="[Line_Productivity]" displayFolder="" count="0" memberValueDatatype="7" unbalanced="0"/>
    <cacheHierarchy uniqueName="[Line_Productivity].[Month]" caption="Month" attribute="1" defaultMemberUniqueName="[Line_Productivity].[Month].[All]" allUniqueName="[Line_Productivity].[Month].[All]" dimensionUniqueName="[Line_Productivity]" displayFolder="" count="2" memberValueDatatype="130" unbalanced="0">
      <fieldsUsage count="2">
        <fieldUsage x="-1"/>
        <fieldUsage x="4"/>
      </fieldsUsage>
    </cacheHierarchy>
    <cacheHierarchy uniqueName="[Line_Productivity].[Day]" caption="Day" attribute="1" defaultMemberUniqueName="[Line_Productivity].[Day].[All]" allUniqueName="[Line_Productivity].[Day].[All]" dimensionUniqueName="[Line_Productivity]" displayFolder="" count="0" memberValueDatatype="130" unbalanced="0"/>
    <cacheHierarchy uniqueName="[Line_Productivity].[Year]" caption="Year" attribute="1" defaultMemberUniqueName="[Line_Productivity].[Year].[All]" allUniqueName="[Line_Productivity].[Year].[All]" dimensionUniqueName="[Line_Productivity]" displayFolder="" count="0" memberValueDatatype="130" unbalanced="0"/>
    <cacheHierarchy uniqueName="[Line_Productivity].[Product]" caption="Product" attribute="1" defaultMemberUniqueName="[Line_Productivity].[Product].[All]" allUniqueName="[Line_Productivity].[Product].[All]" dimensionUniqueName="[Line_Productivity]" displayFolder="" count="0" memberValueDatatype="130" unbalanced="0"/>
    <cacheHierarchy uniqueName="[Line_Productivity].[Batch]" caption="Batch" attribute="1" defaultMemberUniqueName="[Line_Productivity].[Batch].[All]" allUniqueName="[Line_Productivity].[Batch].[All]" dimensionUniqueName="[Line_Productivity]" displayFolder="" count="0" memberValueDatatype="130" unbalanced="0"/>
    <cacheHierarchy uniqueName="[Line_Productivity].[Operator]" caption="Operator" attribute="1" defaultMemberUniqueName="[Line_Productivity].[Operator].[All]" allUniqueName="[Line_Productivity].[Operator].[All]" dimensionUniqueName="[Line_Productivity]" displayFolder="" count="2" memberValueDatatype="130" unbalanced="0"/>
    <cacheHierarchy uniqueName="[Line_Productivity].[Start Time]" caption="Start Time" attribute="1" time="1" defaultMemberUniqueName="[Line_Productivity].[Start Time].[All]" allUniqueName="[Line_Productivity].[Start Time].[All]" dimensionUniqueName="[Line_Productivity]" displayFolder="" count="0" memberValueDatatype="7" unbalanced="0"/>
    <cacheHierarchy uniqueName="[Line_Productivity].[End Time]" caption="End Time" attribute="1" time="1" defaultMemberUniqueName="[Line_Productivity].[End Time].[All]" allUniqueName="[Line_Productivity].[End Time].[All]" dimensionUniqueName="[Line_Productivity]" displayFolder="" count="0" memberValueDatatype="7" unbalanced="0"/>
    <cacheHierarchy uniqueName="[Line_Productivity].[Worked Hours]" caption="Worked Hours" attribute="1" defaultMemberUniqueName="[Line_Productivity].[Worked Hours].[All]" allUniqueName="[Line_Productivity].[Worked Hours].[All]" dimensionUniqueName="[Line_Productivity]" displayFolder="" count="0" memberValueDatatype="5" unbalanced="0"/>
    <cacheHierarchy uniqueName="[Line_Productivity].[Min Batch Time]" caption="Min Batch Time" attribute="1" defaultMemberUniqueName="[Line_Productivity].[Min Batch Time].[All]" allUniqueName="[Line_Productivity].[Min Batch Time].[All]" dimensionUniqueName="[Line_Productivity]" displayFolder="" count="0" memberValueDatatype="5" unbalanced="0"/>
    <cacheHierarchy uniqueName="[Line_Productivity].[Date (Month)]" caption="Date (Month)" attribute="1" defaultMemberUniqueName="[Line_Productivity].[Date (Month)].[All]" allUniqueName="[Line_Productivity].[Date (Month)].[All]" dimensionUniqueName="[Line_Productivity]" displayFolder="" count="0" memberValueDatatype="130" unbalanced="0"/>
    <cacheHierarchy uniqueName="[Product].[Product]" caption="Product" attribute="1" defaultMemberUniqueName="[Product].[Product].[All]" allUniqueName="[Product].[Product].[All]" dimensionUniqueName="[Product]" displayFolder="" count="2" memberValueDatatype="130" unbalanced="0">
      <fieldsUsage count="2">
        <fieldUsage x="-1"/>
        <fieldUsage x="0"/>
      </fieldsUsage>
    </cacheHierarchy>
    <cacheHierarchy uniqueName="[Product].[Flavor]" caption="Flavor" attribute="1" defaultMemberUniqueName="[Product].[Flavor].[All]" allUniqueName="[Product].[Flavor].[All]" dimensionUniqueName="[Product]" displayFolder="" count="0" memberValueDatatype="130" unbalanced="0"/>
    <cacheHierarchy uniqueName="[Product].[Size]" caption="Size" attribute="1" defaultMemberUniqueName="[Product].[Size].[All]" allUniqueName="[Product].[Size].[All]" dimensionUniqueName="[Product]" displayFolder="" count="0" memberValueDatatype="130" unbalanced="0"/>
    <cacheHierarchy uniqueName="[Product].[Min batch time]" caption="Min batch time" attribute="1" defaultMemberUniqueName="[Product].[Min batch time].[All]" allUniqueName="[Product].[Min batch time].[All]" dimensionUniqueName="[Product]" displayFolder="" count="0" memberValueDatatype="5" unbalanced="0"/>
    <cacheHierarchy uniqueName="[Line_Productivity].[Date (Month Index)]" caption="Date (Month Index)" attribute="1" defaultMemberUniqueName="[Line_Productivity].[Date (Month Index)].[All]" allUniqueName="[Line_Productivity].[Date (Month Index)].[All]" dimensionUniqueName="[Line_Productivity]" displayFolder="" count="0" memberValueDatatype="20" unbalanced="0" hidden="1"/>
    <cacheHierarchy uniqueName="[Measures].[Total Worked Hours]" caption="Total Worked Hours" measure="1" displayFolder="" measureGroup="Line_Productivity" count="0" oneField="1">
      <fieldsUsage count="1">
        <fieldUsage x="3"/>
      </fieldsUsage>
    </cacheHierarchy>
    <cacheHierarchy uniqueName="[Measures].[Total Min Batch Time]" caption="Total Min Batch Time" measure="1" displayFolder="" measureGroup="Line_Productivity" count="0" oneField="1">
      <fieldsUsage count="1">
        <fieldUsage x="2"/>
      </fieldsUsage>
    </cacheHierarchy>
    <cacheHierarchy uniqueName="[Measures].[Line Eff %]" caption="Line Eff %" measure="1" displayFolder="" measureGroup="Line_Productivity" count="0"/>
    <cacheHierarchy uniqueName="[Measures].[Total Downtime]" caption="Total Downtime" measure="1" displayFolder="" measureGroup="Line_Productivity" count="0" oneField="1">
      <fieldsUsage count="1">
        <fieldUsage x="1"/>
      </fieldsUsage>
    </cacheHierarchy>
    <cacheHierarchy uniqueName="[Measures].[Line ineff %]" caption="Line ineff %" measure="1" displayFolder="" measureGroup="Line_Productivity" count="0"/>
    <cacheHierarchy uniqueName="[Measures].[DOWNTIME RATIO]" caption="DOWNTIME RATIO" measure="1" displayFolder="" measureGroup="Line_Productivity" count="0"/>
    <cacheHierarchy uniqueName="[Measures].[STANDARD TIME RATIO]" caption="STANDARD TIME RATIO" measure="1" displayFolder="" measureGroup="Line_Productivity" count="0"/>
    <cacheHierarchy uniqueName="[Measures].[Total Batch Count]" caption="Total Batch Count" measure="1" displayFolder="" measureGroup="Line_Productivity" count="0"/>
    <cacheHierarchy uniqueName="[Measures].[AVE BATCH DOWNTIME]" caption="AVE BATCH DOWNTIME" measure="1" displayFolder="" measureGroup="Line_Productivity" count="0"/>
    <cacheHierarchy uniqueName="[Measures].[RATIO]" caption="RATIO" measure="1" displayFolder="" measureGroup="Line_Productivity" count="0"/>
    <cacheHierarchy uniqueName="[Measures].[ STANDARD TIME RATIO]" caption=" STANDARD TIME RATIO" measure="1" displayFolder="" measureGroup="Line_Productivity" count="0"/>
    <cacheHierarchy uniqueName="[Measures].[__XL_Count Product]" caption="__XL_Count Product" measure="1" displayFolder="" measureGroup="Product" count="0" hidden="1"/>
    <cacheHierarchy uniqueName="[Measures].[__XL_Count Downtime_Factors]" caption="__XL_Count Downtime_Factors" measure="1" displayFolder="" measureGroup="Downtime_Factors" count="0" hidden="1"/>
    <cacheHierarchy uniqueName="[Measures].[__XL_Count Line_Downtime]" caption="__XL_Count Line_Downtime" measure="1" displayFolder="" measureGroup="Line_Downtime" count="0" hidden="1"/>
    <cacheHierarchy uniqueName="[Measures].[__XL_Count Line_Productivity]" caption="__XL_Count Line_Productivity" measure="1" displayFolder="" measureGroup="Line_Productivity" count="0" hidden="1"/>
    <cacheHierarchy uniqueName="[Measures].[__No measures defined]" caption="__No measures defined" measure="1" displayFolder="" count="0" hidden="1"/>
    <cacheHierarchy uniqueName="[Measures].[Sum of Min batch time]" caption="Sum of Min batch time" measure="1" displayFolder="" measureGroup="Product" count="0" hidden="1">
      <extLst>
        <ext xmlns:x15="http://schemas.microsoft.com/office/spreadsheetml/2010/11/main" uri="{B97F6D7D-B522-45F9-BDA1-12C45D357490}">
          <x15:cacheHierarchy aggregatedColumn="21"/>
        </ext>
      </extLst>
    </cacheHierarchy>
    <cacheHierarchy uniqueName="[Measures].[Sum of Min Batch Time 2]" caption="Sum of Min Batch Time 2" measure="1" displayFolder="" measureGroup="Line_Productivity" count="0" hidden="1">
      <extLst>
        <ext xmlns:x15="http://schemas.microsoft.com/office/spreadsheetml/2010/11/main" uri="{B97F6D7D-B522-45F9-BDA1-12C45D357490}">
          <x15:cacheHierarchy aggregatedColumn="16"/>
        </ext>
      </extLst>
    </cacheHierarchy>
    <cacheHierarchy uniqueName="[Measures].[Sum of Worked Hours]" caption="Sum of Worked Hours" measure="1" displayFolder="" measureGroup="Line_Productivity" count="0" hidden="1">
      <extLst>
        <ext xmlns:x15="http://schemas.microsoft.com/office/spreadsheetml/2010/11/main" uri="{B97F6D7D-B522-45F9-BDA1-12C45D357490}">
          <x15:cacheHierarchy aggregatedColumn="15"/>
        </ext>
      </extLst>
    </cacheHierarchy>
    <cacheHierarchy uniqueName="[Measures].[Sum of Downtime]" caption="Sum of Downtime" measure="1" displayFolder="" measureGroup="Line_Downtime" count="0" hidden="1">
      <extLst>
        <ext xmlns:x15="http://schemas.microsoft.com/office/spreadsheetml/2010/11/main" uri="{B97F6D7D-B522-45F9-BDA1-12C45D357490}">
          <x15:cacheHierarchy aggregatedColumn="5"/>
        </ext>
      </extLst>
    </cacheHierarchy>
    <cacheHierarchy uniqueName="[Measures].[Count of Description]" caption="Count of Description" measure="1" displayFolder="" measureGroup="Downtime_Factors" count="0" hidden="1">
      <extLst>
        <ext xmlns:x15="http://schemas.microsoft.com/office/spreadsheetml/2010/11/main" uri="{B97F6D7D-B522-45F9-BDA1-12C45D357490}">
          <x15:cacheHierarchy aggregatedColumn="1"/>
        </ext>
      </extLst>
    </cacheHierarchy>
    <cacheHierarchy uniqueName="[Measures].[Count of Operator Error]" caption="Count of Operator Error" measure="1" displayFolder="" measureGroup="Downtime_Factors" count="0" hidden="1">
      <extLst>
        <ext xmlns:x15="http://schemas.microsoft.com/office/spreadsheetml/2010/11/main" uri="{B97F6D7D-B522-45F9-BDA1-12C45D357490}">
          <x15:cacheHierarchy aggregatedColumn="2"/>
        </ext>
      </extLst>
    </cacheHierarchy>
    <cacheHierarchy uniqueName="[Measures].[Count of Factor]" caption="Count of Factor" measure="1" displayFolder="" measureGroup="Line_Downtime" count="0" hidden="1">
      <extLst>
        <ext xmlns:x15="http://schemas.microsoft.com/office/spreadsheetml/2010/11/main" uri="{B97F6D7D-B522-45F9-BDA1-12C45D357490}">
          <x15:cacheHierarchy aggregatedColumn="4"/>
        </ext>
      </extLst>
    </cacheHierarchy>
    <cacheHierarchy uniqueName="[Measures].[Count of Batch]" caption="Count of Batch" measure="1" displayFolder="" measureGroup="Line_Productivity" count="0" hidden="1">
      <extLst>
        <ext xmlns:x15="http://schemas.microsoft.com/office/spreadsheetml/2010/11/main" uri="{B97F6D7D-B522-45F9-BDA1-12C45D357490}">
          <x15:cacheHierarchy aggregatedColumn="11"/>
        </ext>
      </extLst>
    </cacheHierarchy>
    <cacheHierarchy uniqueName="[Measures].[Count of Batch 2]" caption="Count of Batch 2" measure="1" displayFolder="" measureGroup="Line_Downtime" count="0" hidden="1">
      <extLst>
        <ext xmlns:x15="http://schemas.microsoft.com/office/spreadsheetml/2010/11/main" uri="{B97F6D7D-B522-45F9-BDA1-12C45D357490}">
          <x15:cacheHierarchy aggregatedColumn="3"/>
        </ext>
      </extLst>
    </cacheHierarchy>
    <cacheHierarchy uniqueName="[Measures].[Count of Product]" caption="Count of Product" measure="1" displayFolder="" measureGroup="Line_Productivity" count="0" hidden="1">
      <extLst>
        <ext xmlns:x15="http://schemas.microsoft.com/office/spreadsheetml/2010/11/main" uri="{B97F6D7D-B522-45F9-BDA1-12C45D357490}">
          <x15:cacheHierarchy aggregatedColumn="10"/>
        </ext>
      </extLst>
    </cacheHierarchy>
    <cacheHierarchy uniqueName="[Measures].[Sum of Factor]" caption="Sum of Factor" measure="1" displayFolder="" measureGroup="Downtime_Factors" count="0" hidden="1">
      <extLst>
        <ext xmlns:x15="http://schemas.microsoft.com/office/spreadsheetml/2010/11/main" uri="{B97F6D7D-B522-45F9-BDA1-12C45D357490}">
          <x15:cacheHierarchy aggregatedColumn="0"/>
        </ext>
      </extLst>
    </cacheHierarchy>
    <cacheHierarchy uniqueName="[Measures].[Count of Downtime]" caption="Count of Downtime" measure="1" displayFolder="" measureGroup="Line_Downtime" count="0" hidden="1">
      <extLst>
        <ext xmlns:x15="http://schemas.microsoft.com/office/spreadsheetml/2010/11/main" uri="{B97F6D7D-B522-45F9-BDA1-12C45D357490}">
          <x15:cacheHierarchy aggregatedColumn="5"/>
        </ext>
      </extLst>
    </cacheHierarchy>
  </cacheHierarchies>
  <kpis count="0"/>
  <dimensions count="5">
    <dimension name="Downtime_Factors" uniqueName="[Downtime_Factors]" caption="Downtime_Factors"/>
    <dimension name="Line_Downtime" uniqueName="[Line_Downtime]" caption="Line_Downtime"/>
    <dimension name="Line_Productivity" uniqueName="[Line_Productivity]" caption="Line_Productivity"/>
    <dimension measure="1" name="Measures" uniqueName="[Measures]" caption="Measures"/>
    <dimension name="Product" uniqueName="[Product]" caption="Product"/>
  </dimensions>
  <measureGroups count="4">
    <measureGroup name="Downtime_Factors" caption="Downtime_Factors"/>
    <measureGroup name="Line_Downtime" caption="Line_Downtime"/>
    <measureGroup name="Line_Productivity" caption="Line_Productivity"/>
    <measureGroup name="Product" caption="Product"/>
  </measureGroups>
  <maps count="8">
    <map measureGroup="0" dimension="0"/>
    <map measureGroup="1" dimension="0"/>
    <map measureGroup="1" dimension="1"/>
    <map measureGroup="1" dimension="2"/>
    <map measureGroup="1" dimension="4"/>
    <map measureGroup="2" dimension="2"/>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995.330195023147" backgroundQuery="1" createdVersion="8" refreshedVersion="8" minRefreshableVersion="3" recordCount="0" supportSubquery="1" supportAdvancedDrill="1" xr:uid="{AFBBC909-A563-4188-A224-24A960F7E2FB}">
  <cacheSource type="external" connectionId="6"/>
  <cacheFields count="5">
    <cacheField name="[Measures].[Sum of Downtime]" caption="Sum of Downtime" numFmtId="0" hierarchy="42" level="32767"/>
    <cacheField name="[Downtime_Factors].[Description].[Description]" caption="Description" numFmtId="0" hierarchy="1" level="1">
      <sharedItems count="11">
        <s v="Batch Change"/>
        <s v="Batch Coding Error"/>
        <s v="Calibration Error"/>
        <s v="Conveyor Belt Jam"/>
        <s v="Inventory Shortage"/>
        <s v="Label Switch"/>
        <s v="Labeling Error"/>
        <s v="Machine Adjustment"/>
        <s v="Machine Failure"/>
        <s v="Other"/>
        <s v="Product Spill"/>
      </sharedItems>
    </cacheField>
    <cacheField name="[Line_Productivity].[Batch].[Batch]" caption="Batch" numFmtId="0" hierarchy="11" level="1">
      <sharedItems count="35">
        <s v="422111"/>
        <s v="422112"/>
        <s v="422113"/>
        <s v="422114"/>
        <s v="422115"/>
        <s v="422117"/>
        <s v="422118"/>
        <s v="422119"/>
        <s v="422120"/>
        <s v="422121"/>
        <s v="422122"/>
        <s v="422123"/>
        <s v="422124"/>
        <s v="422125"/>
        <s v="422126"/>
        <s v="422127"/>
        <s v="422128"/>
        <s v="422129"/>
        <s v="422130"/>
        <s v="422131"/>
        <s v="422133"/>
        <s v="422134"/>
        <s v="422135"/>
        <s v="422137"/>
        <s v="422138"/>
        <s v="422139"/>
        <s v="422140"/>
        <s v="422141"/>
        <s v="422142"/>
        <s v="422143"/>
        <s v="422144"/>
        <s v="422145"/>
        <s v="422146"/>
        <s v="422147"/>
        <s v="422148"/>
      </sharedItems>
    </cacheField>
    <cacheField name="[Downtime_Factors].[Operator Error].[Operator Error]" caption="Operator Error" numFmtId="0" hierarchy="2" level="1">
      <sharedItems count="2">
        <s v="No"/>
        <s v="Yes"/>
      </sharedItems>
    </cacheField>
    <cacheField name="[Line_Productivity].[Year].[Year]" caption="Year" numFmtId="0" hierarchy="9" level="1">
      <sharedItems containsSemiMixedTypes="0" containsNonDate="0" containsString="0"/>
    </cacheField>
  </cacheFields>
  <cacheHierarchies count="51">
    <cacheHierarchy uniqueName="[Downtime_Factors].[Factor]" caption="Factor" attribute="1" defaultMemberUniqueName="[Downtime_Factors].[Factor].[All]" allUniqueName="[Downtime_Factors].[Factor].[All]" dimensionUniqueName="[Downtime_Factors]" displayFolder="" count="0" memberValueDatatype="20" unbalanced="0"/>
    <cacheHierarchy uniqueName="[Downtime_Factors].[Description]" caption="Description" attribute="1" defaultMemberUniqueName="[Downtime_Factors].[Description].[All]" allUniqueName="[Downtime_Factors].[Description].[All]" dimensionUniqueName="[Downtime_Factors]" displayFolder="" count="2" memberValueDatatype="130" unbalanced="0">
      <fieldsUsage count="2">
        <fieldUsage x="-1"/>
        <fieldUsage x="1"/>
      </fieldsUsage>
    </cacheHierarchy>
    <cacheHierarchy uniqueName="[Downtime_Factors].[Operator Error]" caption="Operator Error" attribute="1" defaultMemberUniqueName="[Downtime_Factors].[Operator Error].[All]" allUniqueName="[Downtime_Factors].[Operator Error].[All]" dimensionUniqueName="[Downtime_Factors]" displayFolder="" count="2" memberValueDatatype="130" unbalanced="0">
      <fieldsUsage count="2">
        <fieldUsage x="-1"/>
        <fieldUsage x="3"/>
      </fieldsUsage>
    </cacheHierarchy>
    <cacheHierarchy uniqueName="[Line_Downtime].[Batch]" caption="Batch" attribute="1" defaultMemberUniqueName="[Line_Downtime].[Batch].[All]" allUniqueName="[Line_Downtime].[Batch].[All]" dimensionUniqueName="[Line_Downtime]" displayFolder="" count="0" memberValueDatatype="130" unbalanced="0"/>
    <cacheHierarchy uniqueName="[Line_Downtime].[Factor]" caption="Factor" attribute="1" defaultMemberUniqueName="[Line_Downtime].[Factor].[All]" allUniqueName="[Line_Downtime].[Factor].[All]" dimensionUniqueName="[Line_Downtime]" displayFolder="" count="0" memberValueDatatype="130" unbalanced="0"/>
    <cacheHierarchy uniqueName="[Line_Downtime].[Downtime]" caption="Downtime" attribute="1" defaultMemberUniqueName="[Line_Downtime].[Downtime].[All]" allUniqueName="[Line_Downtime].[Downtime].[All]" dimensionUniqueName="[Line_Downtime]" displayFolder="" count="0" memberValueDatatype="5" unbalanced="0"/>
    <cacheHierarchy uniqueName="[Line_Productivity].[Date]" caption="Date" attribute="1" time="1" defaultMemberUniqueName="[Line_Productivity].[Date].[All]" allUniqueName="[Line_Productivity].[Date].[All]" dimensionUniqueName="[Line_Productivity]" displayFolder="" count="0" memberValueDatatype="7" unbalanced="0"/>
    <cacheHierarchy uniqueName="[Line_Productivity].[Month]" caption="Month" attribute="1" defaultMemberUniqueName="[Line_Productivity].[Month].[All]" allUniqueName="[Line_Productivity].[Month].[All]" dimensionUniqueName="[Line_Productivity]" displayFolder="" count="2" memberValueDatatype="130" unbalanced="0"/>
    <cacheHierarchy uniqueName="[Line_Productivity].[Day]" caption="Day" attribute="1" defaultMemberUniqueName="[Line_Productivity].[Day].[All]" allUniqueName="[Line_Productivity].[Day].[All]" dimensionUniqueName="[Line_Productivity]" displayFolder="" count="0" memberValueDatatype="130" unbalanced="0"/>
    <cacheHierarchy uniqueName="[Line_Productivity].[Year]" caption="Year" attribute="1" defaultMemberUniqueName="[Line_Productivity].[Year].[All]" allUniqueName="[Line_Productivity].[Year].[All]" dimensionUniqueName="[Line_Productivity]" displayFolder="" count="2" memberValueDatatype="130" unbalanced="0">
      <fieldsUsage count="2">
        <fieldUsage x="-1"/>
        <fieldUsage x="4"/>
      </fieldsUsage>
    </cacheHierarchy>
    <cacheHierarchy uniqueName="[Line_Productivity].[Product]" caption="Product" attribute="1" defaultMemberUniqueName="[Line_Productivity].[Product].[All]" allUniqueName="[Line_Productivity].[Product].[All]" dimensionUniqueName="[Line_Productivity]" displayFolder="" count="0" memberValueDatatype="130" unbalanced="0"/>
    <cacheHierarchy uniqueName="[Line_Productivity].[Batch]" caption="Batch" attribute="1" defaultMemberUniqueName="[Line_Productivity].[Batch].[All]" allUniqueName="[Line_Productivity].[Batch].[All]" dimensionUniqueName="[Line_Productivity]" displayFolder="" count="2" memberValueDatatype="130" unbalanced="0">
      <fieldsUsage count="2">
        <fieldUsage x="-1"/>
        <fieldUsage x="2"/>
      </fieldsUsage>
    </cacheHierarchy>
    <cacheHierarchy uniqueName="[Line_Productivity].[Operator]" caption="Operator" attribute="1" defaultMemberUniqueName="[Line_Productivity].[Operator].[All]" allUniqueName="[Line_Productivity].[Operator].[All]" dimensionUniqueName="[Line_Productivity]" displayFolder="" count="2" memberValueDatatype="130" unbalanced="0"/>
    <cacheHierarchy uniqueName="[Line_Productivity].[Start Time]" caption="Start Time" attribute="1" time="1" defaultMemberUniqueName="[Line_Productivity].[Start Time].[All]" allUniqueName="[Line_Productivity].[Start Time].[All]" dimensionUniqueName="[Line_Productivity]" displayFolder="" count="0" memberValueDatatype="7" unbalanced="0"/>
    <cacheHierarchy uniqueName="[Line_Productivity].[End Time]" caption="End Time" attribute="1" time="1" defaultMemberUniqueName="[Line_Productivity].[End Time].[All]" allUniqueName="[Line_Productivity].[End Time].[All]" dimensionUniqueName="[Line_Productivity]" displayFolder="" count="0" memberValueDatatype="7" unbalanced="0"/>
    <cacheHierarchy uniqueName="[Line_Productivity].[Worked Hours]" caption="Worked Hours" attribute="1" defaultMemberUniqueName="[Line_Productivity].[Worked Hours].[All]" allUniqueName="[Line_Productivity].[Worked Hours].[All]" dimensionUniqueName="[Line_Productivity]" displayFolder="" count="0" memberValueDatatype="5" unbalanced="0"/>
    <cacheHierarchy uniqueName="[Line_Productivity].[Min Batch Time]" caption="Min Batch Time" attribute="1" defaultMemberUniqueName="[Line_Productivity].[Min Batch Time].[All]" allUniqueName="[Line_Productivity].[Min Batch Time].[All]" dimensionUniqueName="[Line_Productivity]" displayFolder="" count="0" memberValueDatatype="5" unbalanced="0"/>
    <cacheHierarchy uniqueName="[Line_Productivity].[Date (Month)]" caption="Date (Month)" attribute="1" defaultMemberUniqueName="[Line_Productivity].[Date (Month)].[All]" allUniqueName="[Line_Productivity].[Date (Month)].[All]" dimensionUniqueName="[Line_Productivity]" displayFolder="" count="0" memberValueDatatype="130" unbalanced="0"/>
    <cacheHierarchy uniqueName="[Product].[Product]" caption="Product" attribute="1" defaultMemberUniqueName="[Product].[Product].[All]" allUniqueName="[Product].[Product].[All]" dimensionUniqueName="[Product]" displayFolder="" count="0" memberValueDatatype="130" unbalanced="0"/>
    <cacheHierarchy uniqueName="[Product].[Flavor]" caption="Flavor" attribute="1" defaultMemberUniqueName="[Product].[Flavor].[All]" allUniqueName="[Product].[Flavor].[All]" dimensionUniqueName="[Product]" displayFolder="" count="0" memberValueDatatype="130" unbalanced="0"/>
    <cacheHierarchy uniqueName="[Product].[Size]" caption="Size" attribute="1" defaultMemberUniqueName="[Product].[Size].[All]" allUniqueName="[Product].[Size].[All]" dimensionUniqueName="[Product]" displayFolder="" count="0" memberValueDatatype="130" unbalanced="0"/>
    <cacheHierarchy uniqueName="[Product].[Min batch time]" caption="Min batch time" attribute="1" defaultMemberUniqueName="[Product].[Min batch time].[All]" allUniqueName="[Product].[Min batch time].[All]" dimensionUniqueName="[Product]" displayFolder="" count="0" memberValueDatatype="5" unbalanced="0"/>
    <cacheHierarchy uniqueName="[Line_Productivity].[Date (Month Index)]" caption="Date (Month Index)" attribute="1" defaultMemberUniqueName="[Line_Productivity].[Date (Month Index)].[All]" allUniqueName="[Line_Productivity].[Date (Month Index)].[All]" dimensionUniqueName="[Line_Productivity]" displayFolder="" count="0" memberValueDatatype="20" unbalanced="0" hidden="1"/>
    <cacheHierarchy uniqueName="[Measures].[Total Worked Hours]" caption="Total Worked Hours" measure="1" displayFolder="" measureGroup="Line_Productivity" count="0"/>
    <cacheHierarchy uniqueName="[Measures].[Total Min Batch Time]" caption="Total Min Batch Time" measure="1" displayFolder="" measureGroup="Line_Productivity" count="0"/>
    <cacheHierarchy uniqueName="[Measures].[Line Eff %]" caption="Line Eff %" measure="1" displayFolder="" measureGroup="Line_Productivity" count="0"/>
    <cacheHierarchy uniqueName="[Measures].[Total Downtime]" caption="Total Downtime" measure="1" displayFolder="" measureGroup="Line_Productivity" count="0"/>
    <cacheHierarchy uniqueName="[Measures].[Line ineff %]" caption="Line ineff %" measure="1" displayFolder="" measureGroup="Line_Productivity" count="0"/>
    <cacheHierarchy uniqueName="[Measures].[DOWNTIME RATIO]" caption="DOWNTIME RATIO" measure="1" displayFolder="" measureGroup="Line_Productivity" count="0"/>
    <cacheHierarchy uniqueName="[Measures].[STANDARD TIME RATIO]" caption="STANDARD TIME RATIO" measure="1" displayFolder="" measureGroup="Line_Productivity" count="0"/>
    <cacheHierarchy uniqueName="[Measures].[Total Batch Count]" caption="Total Batch Count" measure="1" displayFolder="" measureGroup="Line_Productivity" count="0"/>
    <cacheHierarchy uniqueName="[Measures].[AVE BATCH DOWNTIME]" caption="AVE BATCH DOWNTIME" measure="1" displayFolder="" measureGroup="Line_Productivity" count="0"/>
    <cacheHierarchy uniqueName="[Measures].[RATIO]" caption="RATIO" measure="1" displayFolder="" measureGroup="Line_Productivity" count="0"/>
    <cacheHierarchy uniqueName="[Measures].[ STANDARD TIME RATIO]" caption=" STANDARD TIME RATIO" measure="1" displayFolder="" measureGroup="Line_Productivity" count="0"/>
    <cacheHierarchy uniqueName="[Measures].[__XL_Count Product]" caption="__XL_Count Product" measure="1" displayFolder="" measureGroup="Product" count="0" hidden="1"/>
    <cacheHierarchy uniqueName="[Measures].[__XL_Count Downtime_Factors]" caption="__XL_Count Downtime_Factors" measure="1" displayFolder="" measureGroup="Downtime_Factors" count="0" hidden="1"/>
    <cacheHierarchy uniqueName="[Measures].[__XL_Count Line_Downtime]" caption="__XL_Count Line_Downtime" measure="1" displayFolder="" measureGroup="Line_Downtime" count="0" hidden="1"/>
    <cacheHierarchy uniqueName="[Measures].[__XL_Count Line_Productivity]" caption="__XL_Count Line_Productivity" measure="1" displayFolder="" measureGroup="Line_Productivity" count="0" hidden="1"/>
    <cacheHierarchy uniqueName="[Measures].[__No measures defined]" caption="__No measures defined" measure="1" displayFolder="" count="0" hidden="1"/>
    <cacheHierarchy uniqueName="[Measures].[Sum of Min batch time]" caption="Sum of Min batch time" measure="1" displayFolder="" measureGroup="Product" count="0" hidden="1">
      <extLst>
        <ext xmlns:x15="http://schemas.microsoft.com/office/spreadsheetml/2010/11/main" uri="{B97F6D7D-B522-45F9-BDA1-12C45D357490}">
          <x15:cacheHierarchy aggregatedColumn="21"/>
        </ext>
      </extLst>
    </cacheHierarchy>
    <cacheHierarchy uniqueName="[Measures].[Sum of Min Batch Time 2]" caption="Sum of Min Batch Time 2" measure="1" displayFolder="" measureGroup="Line_Productivity" count="0" hidden="1">
      <extLst>
        <ext xmlns:x15="http://schemas.microsoft.com/office/spreadsheetml/2010/11/main" uri="{B97F6D7D-B522-45F9-BDA1-12C45D357490}">
          <x15:cacheHierarchy aggregatedColumn="16"/>
        </ext>
      </extLst>
    </cacheHierarchy>
    <cacheHierarchy uniqueName="[Measures].[Sum of Worked Hours]" caption="Sum of Worked Hours" measure="1" displayFolder="" measureGroup="Line_Productivity" count="0" hidden="1">
      <extLst>
        <ext xmlns:x15="http://schemas.microsoft.com/office/spreadsheetml/2010/11/main" uri="{B97F6D7D-B522-45F9-BDA1-12C45D357490}">
          <x15:cacheHierarchy aggregatedColumn="15"/>
        </ext>
      </extLst>
    </cacheHierarchy>
    <cacheHierarchy uniqueName="[Measures].[Sum of Downtime]" caption="Sum of Downtime" measure="1" displayFolder="" measureGroup="Line_Downtime" count="0" oneField="1" hidden="1">
      <fieldsUsage count="1">
        <fieldUsage x="0"/>
      </fieldsUsage>
      <extLst>
        <ext xmlns:x15="http://schemas.microsoft.com/office/spreadsheetml/2010/11/main" uri="{B97F6D7D-B522-45F9-BDA1-12C45D357490}">
          <x15:cacheHierarchy aggregatedColumn="5"/>
        </ext>
      </extLst>
    </cacheHierarchy>
    <cacheHierarchy uniqueName="[Measures].[Count of Description]" caption="Count of Description" measure="1" displayFolder="" measureGroup="Downtime_Factors" count="0" hidden="1">
      <extLst>
        <ext xmlns:x15="http://schemas.microsoft.com/office/spreadsheetml/2010/11/main" uri="{B97F6D7D-B522-45F9-BDA1-12C45D357490}">
          <x15:cacheHierarchy aggregatedColumn="1"/>
        </ext>
      </extLst>
    </cacheHierarchy>
    <cacheHierarchy uniqueName="[Measures].[Count of Operator Error]" caption="Count of Operator Error" measure="1" displayFolder="" measureGroup="Downtime_Factors" count="0" hidden="1">
      <extLst>
        <ext xmlns:x15="http://schemas.microsoft.com/office/spreadsheetml/2010/11/main" uri="{B97F6D7D-B522-45F9-BDA1-12C45D357490}">
          <x15:cacheHierarchy aggregatedColumn="2"/>
        </ext>
      </extLst>
    </cacheHierarchy>
    <cacheHierarchy uniqueName="[Measures].[Count of Factor]" caption="Count of Factor" measure="1" displayFolder="" measureGroup="Line_Downtime" count="0" hidden="1">
      <extLst>
        <ext xmlns:x15="http://schemas.microsoft.com/office/spreadsheetml/2010/11/main" uri="{B97F6D7D-B522-45F9-BDA1-12C45D357490}">
          <x15:cacheHierarchy aggregatedColumn="4"/>
        </ext>
      </extLst>
    </cacheHierarchy>
    <cacheHierarchy uniqueName="[Measures].[Count of Batch]" caption="Count of Batch" measure="1" displayFolder="" measureGroup="Line_Productivity" count="0" hidden="1">
      <extLst>
        <ext xmlns:x15="http://schemas.microsoft.com/office/spreadsheetml/2010/11/main" uri="{B97F6D7D-B522-45F9-BDA1-12C45D357490}">
          <x15:cacheHierarchy aggregatedColumn="11"/>
        </ext>
      </extLst>
    </cacheHierarchy>
    <cacheHierarchy uniqueName="[Measures].[Count of Batch 2]" caption="Count of Batch 2" measure="1" displayFolder="" measureGroup="Line_Downtime" count="0" hidden="1">
      <extLst>
        <ext xmlns:x15="http://schemas.microsoft.com/office/spreadsheetml/2010/11/main" uri="{B97F6D7D-B522-45F9-BDA1-12C45D357490}">
          <x15:cacheHierarchy aggregatedColumn="3"/>
        </ext>
      </extLst>
    </cacheHierarchy>
    <cacheHierarchy uniqueName="[Measures].[Count of Product]" caption="Count of Product" measure="1" displayFolder="" measureGroup="Line_Productivity" count="0" hidden="1">
      <extLst>
        <ext xmlns:x15="http://schemas.microsoft.com/office/spreadsheetml/2010/11/main" uri="{B97F6D7D-B522-45F9-BDA1-12C45D357490}">
          <x15:cacheHierarchy aggregatedColumn="10"/>
        </ext>
      </extLst>
    </cacheHierarchy>
    <cacheHierarchy uniqueName="[Measures].[Sum of Factor]" caption="Sum of Factor" measure="1" displayFolder="" measureGroup="Downtime_Factors" count="0" hidden="1">
      <extLst>
        <ext xmlns:x15="http://schemas.microsoft.com/office/spreadsheetml/2010/11/main" uri="{B97F6D7D-B522-45F9-BDA1-12C45D357490}">
          <x15:cacheHierarchy aggregatedColumn="0"/>
        </ext>
      </extLst>
    </cacheHierarchy>
    <cacheHierarchy uniqueName="[Measures].[Count of Downtime]" caption="Count of Downtime" measure="1" displayFolder="" measureGroup="Line_Downtime" count="0" hidden="1">
      <extLst>
        <ext xmlns:x15="http://schemas.microsoft.com/office/spreadsheetml/2010/11/main" uri="{B97F6D7D-B522-45F9-BDA1-12C45D357490}">
          <x15:cacheHierarchy aggregatedColumn="5"/>
        </ext>
      </extLst>
    </cacheHierarchy>
  </cacheHierarchies>
  <kpis count="0"/>
  <dimensions count="5">
    <dimension name="Downtime_Factors" uniqueName="[Downtime_Factors]" caption="Downtime_Factors"/>
    <dimension name="Line_Downtime" uniqueName="[Line_Downtime]" caption="Line_Downtime"/>
    <dimension name="Line_Productivity" uniqueName="[Line_Productivity]" caption="Line_Productivity"/>
    <dimension measure="1" name="Measures" uniqueName="[Measures]" caption="Measures"/>
    <dimension name="Product" uniqueName="[Product]" caption="Product"/>
  </dimensions>
  <measureGroups count="4">
    <measureGroup name="Downtime_Factors" caption="Downtime_Factors"/>
    <measureGroup name="Line_Downtime" caption="Line_Downtime"/>
    <measureGroup name="Line_Productivity" caption="Line_Productivity"/>
    <measureGroup name="Product" caption="Product"/>
  </measureGroups>
  <maps count="8">
    <map measureGroup="0" dimension="0"/>
    <map measureGroup="1" dimension="0"/>
    <map measureGroup="1" dimension="1"/>
    <map measureGroup="1" dimension="2"/>
    <map measureGroup="1" dimension="4"/>
    <map measureGroup="2" dimension="2"/>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995.330195138886" backgroundQuery="1" createdVersion="8" refreshedVersion="8" minRefreshableVersion="3" recordCount="0" supportSubquery="1" supportAdvancedDrill="1" xr:uid="{081FCE70-8458-4452-87F3-D321265165B8}">
  <cacheSource type="external" connectionId="6"/>
  <cacheFields count="2">
    <cacheField name="[Measures].[Count of Factor]" caption="Count of Factor" numFmtId="0" hierarchy="45" level="32767"/>
    <cacheField name="[Line_Productivity].[Year].[Year]" caption="Year" numFmtId="0" hierarchy="9" level="1">
      <sharedItems containsSemiMixedTypes="0" containsNonDate="0" containsString="0"/>
    </cacheField>
  </cacheFields>
  <cacheHierarchies count="51">
    <cacheHierarchy uniqueName="[Downtime_Factors].[Factor]" caption="Factor" attribute="1" defaultMemberUniqueName="[Downtime_Factors].[Factor].[All]" allUniqueName="[Downtime_Factors].[Factor].[All]" dimensionUniqueName="[Downtime_Factors]" displayFolder="" count="0" memberValueDatatype="20" unbalanced="0"/>
    <cacheHierarchy uniqueName="[Downtime_Factors].[Description]" caption="Description" attribute="1" defaultMemberUniqueName="[Downtime_Factors].[Description].[All]" allUniqueName="[Downtime_Factors].[Description].[All]" dimensionUniqueName="[Downtime_Factors]" displayFolder="" count="0" memberValueDatatype="130" unbalanced="0"/>
    <cacheHierarchy uniqueName="[Downtime_Factors].[Operator Error]" caption="Operator Error" attribute="1" defaultMemberUniqueName="[Downtime_Factors].[Operator Error].[All]" allUniqueName="[Downtime_Factors].[Operator Error].[All]" dimensionUniqueName="[Downtime_Factors]" displayFolder="" count="2" memberValueDatatype="130" unbalanced="0"/>
    <cacheHierarchy uniqueName="[Line_Downtime].[Batch]" caption="Batch" attribute="1" defaultMemberUniqueName="[Line_Downtime].[Batch].[All]" allUniqueName="[Line_Downtime].[Batch].[All]" dimensionUniqueName="[Line_Downtime]" displayFolder="" count="0" memberValueDatatype="130" unbalanced="0"/>
    <cacheHierarchy uniqueName="[Line_Downtime].[Factor]" caption="Factor" attribute="1" defaultMemberUniqueName="[Line_Downtime].[Factor].[All]" allUniqueName="[Line_Downtime].[Factor].[All]" dimensionUniqueName="[Line_Downtime]" displayFolder="" count="0" memberValueDatatype="130" unbalanced="0"/>
    <cacheHierarchy uniqueName="[Line_Downtime].[Downtime]" caption="Downtime" attribute="1" defaultMemberUniqueName="[Line_Downtime].[Downtime].[All]" allUniqueName="[Line_Downtime].[Downtime].[All]" dimensionUniqueName="[Line_Downtime]" displayFolder="" count="0" memberValueDatatype="5" unbalanced="0"/>
    <cacheHierarchy uniqueName="[Line_Productivity].[Date]" caption="Date" attribute="1" time="1" defaultMemberUniqueName="[Line_Productivity].[Date].[All]" allUniqueName="[Line_Productivity].[Date].[All]" dimensionUniqueName="[Line_Productivity]" displayFolder="" count="0" memberValueDatatype="7" unbalanced="0"/>
    <cacheHierarchy uniqueName="[Line_Productivity].[Month]" caption="Month" attribute="1" defaultMemberUniqueName="[Line_Productivity].[Month].[All]" allUniqueName="[Line_Productivity].[Month].[All]" dimensionUniqueName="[Line_Productivity]" displayFolder="" count="2" memberValueDatatype="130" unbalanced="0"/>
    <cacheHierarchy uniqueName="[Line_Productivity].[Day]" caption="Day" attribute="1" defaultMemberUniqueName="[Line_Productivity].[Day].[All]" allUniqueName="[Line_Productivity].[Day].[All]" dimensionUniqueName="[Line_Productivity]" displayFolder="" count="0" memberValueDatatype="130" unbalanced="0"/>
    <cacheHierarchy uniqueName="[Line_Productivity].[Year]" caption="Year" attribute="1" defaultMemberUniqueName="[Line_Productivity].[Year].[All]" allUniqueName="[Line_Productivity].[Year].[All]" dimensionUniqueName="[Line_Productivity]" displayFolder="" count="2" memberValueDatatype="130" unbalanced="0">
      <fieldsUsage count="2">
        <fieldUsage x="-1"/>
        <fieldUsage x="1"/>
      </fieldsUsage>
    </cacheHierarchy>
    <cacheHierarchy uniqueName="[Line_Productivity].[Product]" caption="Product" attribute="1" defaultMemberUniqueName="[Line_Productivity].[Product].[All]" allUniqueName="[Line_Productivity].[Product].[All]" dimensionUniqueName="[Line_Productivity]" displayFolder="" count="0" memberValueDatatype="130" unbalanced="0"/>
    <cacheHierarchy uniqueName="[Line_Productivity].[Batch]" caption="Batch" attribute="1" defaultMemberUniqueName="[Line_Productivity].[Batch].[All]" allUniqueName="[Line_Productivity].[Batch].[All]" dimensionUniqueName="[Line_Productivity]" displayFolder="" count="0" memberValueDatatype="130" unbalanced="0"/>
    <cacheHierarchy uniqueName="[Line_Productivity].[Operator]" caption="Operator" attribute="1" defaultMemberUniqueName="[Line_Productivity].[Operator].[All]" allUniqueName="[Line_Productivity].[Operator].[All]" dimensionUniqueName="[Line_Productivity]" displayFolder="" count="2" memberValueDatatype="130" unbalanced="0"/>
    <cacheHierarchy uniqueName="[Line_Productivity].[Start Time]" caption="Start Time" attribute="1" time="1" defaultMemberUniqueName="[Line_Productivity].[Start Time].[All]" allUniqueName="[Line_Productivity].[Start Time].[All]" dimensionUniqueName="[Line_Productivity]" displayFolder="" count="0" memberValueDatatype="7" unbalanced="0"/>
    <cacheHierarchy uniqueName="[Line_Productivity].[End Time]" caption="End Time" attribute="1" time="1" defaultMemberUniqueName="[Line_Productivity].[End Time].[All]" allUniqueName="[Line_Productivity].[End Time].[All]" dimensionUniqueName="[Line_Productivity]" displayFolder="" count="0" memberValueDatatype="7" unbalanced="0"/>
    <cacheHierarchy uniqueName="[Line_Productivity].[Worked Hours]" caption="Worked Hours" attribute="1" defaultMemberUniqueName="[Line_Productivity].[Worked Hours].[All]" allUniqueName="[Line_Productivity].[Worked Hours].[All]" dimensionUniqueName="[Line_Productivity]" displayFolder="" count="0" memberValueDatatype="5" unbalanced="0"/>
    <cacheHierarchy uniqueName="[Line_Productivity].[Min Batch Time]" caption="Min Batch Time" attribute="1" defaultMemberUniqueName="[Line_Productivity].[Min Batch Time].[All]" allUniqueName="[Line_Productivity].[Min Batch Time].[All]" dimensionUniqueName="[Line_Productivity]" displayFolder="" count="0" memberValueDatatype="5" unbalanced="0"/>
    <cacheHierarchy uniqueName="[Line_Productivity].[Date (Month)]" caption="Date (Month)" attribute="1" defaultMemberUniqueName="[Line_Productivity].[Date (Month)].[All]" allUniqueName="[Line_Productivity].[Date (Month)].[All]" dimensionUniqueName="[Line_Productivity]" displayFolder="" count="0" memberValueDatatype="130" unbalanced="0"/>
    <cacheHierarchy uniqueName="[Product].[Product]" caption="Product" attribute="1" defaultMemberUniqueName="[Product].[Product].[All]" allUniqueName="[Product].[Product].[All]" dimensionUniqueName="[Product]" displayFolder="" count="0" memberValueDatatype="130" unbalanced="0"/>
    <cacheHierarchy uniqueName="[Product].[Flavor]" caption="Flavor" attribute="1" defaultMemberUniqueName="[Product].[Flavor].[All]" allUniqueName="[Product].[Flavor].[All]" dimensionUniqueName="[Product]" displayFolder="" count="0" memberValueDatatype="130" unbalanced="0"/>
    <cacheHierarchy uniqueName="[Product].[Size]" caption="Size" attribute="1" defaultMemberUniqueName="[Product].[Size].[All]" allUniqueName="[Product].[Size].[All]" dimensionUniqueName="[Product]" displayFolder="" count="0" memberValueDatatype="130" unbalanced="0"/>
    <cacheHierarchy uniqueName="[Product].[Min batch time]" caption="Min batch time" attribute="1" defaultMemberUniqueName="[Product].[Min batch time].[All]" allUniqueName="[Product].[Min batch time].[All]" dimensionUniqueName="[Product]" displayFolder="" count="0" memberValueDatatype="5" unbalanced="0"/>
    <cacheHierarchy uniqueName="[Line_Productivity].[Date (Month Index)]" caption="Date (Month Index)" attribute="1" defaultMemberUniqueName="[Line_Productivity].[Date (Month Index)].[All]" allUniqueName="[Line_Productivity].[Date (Month Index)].[All]" dimensionUniqueName="[Line_Productivity]" displayFolder="" count="0" memberValueDatatype="20" unbalanced="0" hidden="1"/>
    <cacheHierarchy uniqueName="[Measures].[Total Worked Hours]" caption="Total Worked Hours" measure="1" displayFolder="" measureGroup="Line_Productivity" count="0"/>
    <cacheHierarchy uniqueName="[Measures].[Total Min Batch Time]" caption="Total Min Batch Time" measure="1" displayFolder="" measureGroup="Line_Productivity" count="0"/>
    <cacheHierarchy uniqueName="[Measures].[Line Eff %]" caption="Line Eff %" measure="1" displayFolder="" measureGroup="Line_Productivity" count="0"/>
    <cacheHierarchy uniqueName="[Measures].[Total Downtime]" caption="Total Downtime" measure="1" displayFolder="" measureGroup="Line_Productivity" count="0"/>
    <cacheHierarchy uniqueName="[Measures].[Line ineff %]" caption="Line ineff %" measure="1" displayFolder="" measureGroup="Line_Productivity" count="0"/>
    <cacheHierarchy uniqueName="[Measures].[DOWNTIME RATIO]" caption="DOWNTIME RATIO" measure="1" displayFolder="" measureGroup="Line_Productivity" count="0"/>
    <cacheHierarchy uniqueName="[Measures].[STANDARD TIME RATIO]" caption="STANDARD TIME RATIO" measure="1" displayFolder="" measureGroup="Line_Productivity" count="0"/>
    <cacheHierarchy uniqueName="[Measures].[Total Batch Count]" caption="Total Batch Count" measure="1" displayFolder="" measureGroup="Line_Productivity" count="0"/>
    <cacheHierarchy uniqueName="[Measures].[AVE BATCH DOWNTIME]" caption="AVE BATCH DOWNTIME" measure="1" displayFolder="" measureGroup="Line_Productivity" count="0"/>
    <cacheHierarchy uniqueName="[Measures].[RATIO]" caption="RATIO" measure="1" displayFolder="" measureGroup="Line_Productivity" count="0"/>
    <cacheHierarchy uniqueName="[Measures].[ STANDARD TIME RATIO]" caption=" STANDARD TIME RATIO" measure="1" displayFolder="" measureGroup="Line_Productivity" count="0"/>
    <cacheHierarchy uniqueName="[Measures].[__XL_Count Product]" caption="__XL_Count Product" measure="1" displayFolder="" measureGroup="Product" count="0" hidden="1"/>
    <cacheHierarchy uniqueName="[Measures].[__XL_Count Downtime_Factors]" caption="__XL_Count Downtime_Factors" measure="1" displayFolder="" measureGroup="Downtime_Factors" count="0" hidden="1"/>
    <cacheHierarchy uniqueName="[Measures].[__XL_Count Line_Downtime]" caption="__XL_Count Line_Downtime" measure="1" displayFolder="" measureGroup="Line_Downtime" count="0" hidden="1"/>
    <cacheHierarchy uniqueName="[Measures].[__XL_Count Line_Productivity]" caption="__XL_Count Line_Productivity" measure="1" displayFolder="" measureGroup="Line_Productivity" count="0" hidden="1"/>
    <cacheHierarchy uniqueName="[Measures].[__No measures defined]" caption="__No measures defined" measure="1" displayFolder="" count="0" hidden="1"/>
    <cacheHierarchy uniqueName="[Measures].[Sum of Min batch time]" caption="Sum of Min batch time" measure="1" displayFolder="" measureGroup="Product" count="0" hidden="1">
      <extLst>
        <ext xmlns:x15="http://schemas.microsoft.com/office/spreadsheetml/2010/11/main" uri="{B97F6D7D-B522-45F9-BDA1-12C45D357490}">
          <x15:cacheHierarchy aggregatedColumn="21"/>
        </ext>
      </extLst>
    </cacheHierarchy>
    <cacheHierarchy uniqueName="[Measures].[Sum of Min Batch Time 2]" caption="Sum of Min Batch Time 2" measure="1" displayFolder="" measureGroup="Line_Productivity" count="0" hidden="1">
      <extLst>
        <ext xmlns:x15="http://schemas.microsoft.com/office/spreadsheetml/2010/11/main" uri="{B97F6D7D-B522-45F9-BDA1-12C45D357490}">
          <x15:cacheHierarchy aggregatedColumn="16"/>
        </ext>
      </extLst>
    </cacheHierarchy>
    <cacheHierarchy uniqueName="[Measures].[Sum of Worked Hours]" caption="Sum of Worked Hours" measure="1" displayFolder="" measureGroup="Line_Productivity" count="0" hidden="1">
      <extLst>
        <ext xmlns:x15="http://schemas.microsoft.com/office/spreadsheetml/2010/11/main" uri="{B97F6D7D-B522-45F9-BDA1-12C45D357490}">
          <x15:cacheHierarchy aggregatedColumn="15"/>
        </ext>
      </extLst>
    </cacheHierarchy>
    <cacheHierarchy uniqueName="[Measures].[Sum of Downtime]" caption="Sum of Downtime" measure="1" displayFolder="" measureGroup="Line_Downtime" count="0" hidden="1">
      <extLst>
        <ext xmlns:x15="http://schemas.microsoft.com/office/spreadsheetml/2010/11/main" uri="{B97F6D7D-B522-45F9-BDA1-12C45D357490}">
          <x15:cacheHierarchy aggregatedColumn="5"/>
        </ext>
      </extLst>
    </cacheHierarchy>
    <cacheHierarchy uniqueName="[Measures].[Count of Description]" caption="Count of Description" measure="1" displayFolder="" measureGroup="Downtime_Factors" count="0" hidden="1">
      <extLst>
        <ext xmlns:x15="http://schemas.microsoft.com/office/spreadsheetml/2010/11/main" uri="{B97F6D7D-B522-45F9-BDA1-12C45D357490}">
          <x15:cacheHierarchy aggregatedColumn="1"/>
        </ext>
      </extLst>
    </cacheHierarchy>
    <cacheHierarchy uniqueName="[Measures].[Count of Operator Error]" caption="Count of Operator Error" measure="1" displayFolder="" measureGroup="Downtime_Factors" count="0" hidden="1">
      <extLst>
        <ext xmlns:x15="http://schemas.microsoft.com/office/spreadsheetml/2010/11/main" uri="{B97F6D7D-B522-45F9-BDA1-12C45D357490}">
          <x15:cacheHierarchy aggregatedColumn="2"/>
        </ext>
      </extLst>
    </cacheHierarchy>
    <cacheHierarchy uniqueName="[Measures].[Count of Factor]" caption="Count of Factor" measure="1" displayFolder="" measureGroup="Line_Downtime" count="0" oneField="1" hidden="1">
      <fieldsUsage count="1">
        <fieldUsage x="0"/>
      </fieldsUsage>
      <extLst>
        <ext xmlns:x15="http://schemas.microsoft.com/office/spreadsheetml/2010/11/main" uri="{B97F6D7D-B522-45F9-BDA1-12C45D357490}">
          <x15:cacheHierarchy aggregatedColumn="4"/>
        </ext>
      </extLst>
    </cacheHierarchy>
    <cacheHierarchy uniqueName="[Measures].[Count of Batch]" caption="Count of Batch" measure="1" displayFolder="" measureGroup="Line_Productivity" count="0" hidden="1">
      <extLst>
        <ext xmlns:x15="http://schemas.microsoft.com/office/spreadsheetml/2010/11/main" uri="{B97F6D7D-B522-45F9-BDA1-12C45D357490}">
          <x15:cacheHierarchy aggregatedColumn="11"/>
        </ext>
      </extLst>
    </cacheHierarchy>
    <cacheHierarchy uniqueName="[Measures].[Count of Batch 2]" caption="Count of Batch 2" measure="1" displayFolder="" measureGroup="Line_Downtime" count="0" hidden="1">
      <extLst>
        <ext xmlns:x15="http://schemas.microsoft.com/office/spreadsheetml/2010/11/main" uri="{B97F6D7D-B522-45F9-BDA1-12C45D357490}">
          <x15:cacheHierarchy aggregatedColumn="3"/>
        </ext>
      </extLst>
    </cacheHierarchy>
    <cacheHierarchy uniqueName="[Measures].[Count of Product]" caption="Count of Product" measure="1" displayFolder="" measureGroup="Line_Productivity" count="0" hidden="1">
      <extLst>
        <ext xmlns:x15="http://schemas.microsoft.com/office/spreadsheetml/2010/11/main" uri="{B97F6D7D-B522-45F9-BDA1-12C45D357490}">
          <x15:cacheHierarchy aggregatedColumn="10"/>
        </ext>
      </extLst>
    </cacheHierarchy>
    <cacheHierarchy uniqueName="[Measures].[Sum of Factor]" caption="Sum of Factor" measure="1" displayFolder="" measureGroup="Downtime_Factors" count="0" hidden="1">
      <extLst>
        <ext xmlns:x15="http://schemas.microsoft.com/office/spreadsheetml/2010/11/main" uri="{B97F6D7D-B522-45F9-BDA1-12C45D357490}">
          <x15:cacheHierarchy aggregatedColumn="0"/>
        </ext>
      </extLst>
    </cacheHierarchy>
    <cacheHierarchy uniqueName="[Measures].[Count of Downtime]" caption="Count of Downtime" measure="1" displayFolder="" measureGroup="Line_Downtime" count="0" hidden="1">
      <extLst>
        <ext xmlns:x15="http://schemas.microsoft.com/office/spreadsheetml/2010/11/main" uri="{B97F6D7D-B522-45F9-BDA1-12C45D357490}">
          <x15:cacheHierarchy aggregatedColumn="5"/>
        </ext>
      </extLst>
    </cacheHierarchy>
  </cacheHierarchies>
  <kpis count="0"/>
  <dimensions count="5">
    <dimension name="Downtime_Factors" uniqueName="[Downtime_Factors]" caption="Downtime_Factors"/>
    <dimension name="Line_Downtime" uniqueName="[Line_Downtime]" caption="Line_Downtime"/>
    <dimension name="Line_Productivity" uniqueName="[Line_Productivity]" caption="Line_Productivity"/>
    <dimension measure="1" name="Measures" uniqueName="[Measures]" caption="Measures"/>
    <dimension name="Product" uniqueName="[Product]" caption="Product"/>
  </dimensions>
  <measureGroups count="4">
    <measureGroup name="Downtime_Factors" caption="Downtime_Factors"/>
    <measureGroup name="Line_Downtime" caption="Line_Downtime"/>
    <measureGroup name="Line_Productivity" caption="Line_Productivity"/>
    <measureGroup name="Product" caption="Product"/>
  </measureGroups>
  <maps count="8">
    <map measureGroup="0" dimension="0"/>
    <map measureGroup="1" dimension="0"/>
    <map measureGroup="1" dimension="1"/>
    <map measureGroup="1" dimension="2"/>
    <map measureGroup="1" dimension="4"/>
    <map measureGroup="2" dimension="2"/>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995.330196064817" backgroundQuery="1" createdVersion="8" refreshedVersion="8" minRefreshableVersion="3" recordCount="0" supportSubquery="1" supportAdvancedDrill="1" xr:uid="{7B77EBCE-0F86-47BC-A959-267440F3CC30}">
  <cacheSource type="external" connectionId="6"/>
  <cacheFields count="5">
    <cacheField name="[Product].[Product].[Product]" caption="Product" numFmtId="0" hierarchy="18" level="1">
      <sharedItems count="6">
        <s v="CO-2L"/>
        <s v="CO-600"/>
        <s v="DC-600"/>
        <s v="LE-600"/>
        <s v="OR-600"/>
        <s v="RB-600"/>
      </sharedItems>
    </cacheField>
    <cacheField name="[Measures].[Sum of Min Batch Time 2]" caption="Sum of Min Batch Time 2" numFmtId="0" hierarchy="40" level="32767"/>
    <cacheField name="[Measures].[Sum of Downtime]" caption="Sum of Downtime" numFmtId="0" hierarchy="42" level="32767"/>
    <cacheField name="[Measures].[Total Worked Hours]" caption="Total Worked Hours" numFmtId="0" hierarchy="23" level="32767"/>
    <cacheField name="[Line_Productivity].[Year].[Year]" caption="Year" numFmtId="0" hierarchy="9" level="1">
      <sharedItems containsSemiMixedTypes="0" containsNonDate="0" containsString="0"/>
    </cacheField>
  </cacheFields>
  <cacheHierarchies count="51">
    <cacheHierarchy uniqueName="[Downtime_Factors].[Factor]" caption="Factor" attribute="1" defaultMemberUniqueName="[Downtime_Factors].[Factor].[All]" allUniqueName="[Downtime_Factors].[Factor].[All]" dimensionUniqueName="[Downtime_Factors]" displayFolder="" count="0" memberValueDatatype="20" unbalanced="0"/>
    <cacheHierarchy uniqueName="[Downtime_Factors].[Description]" caption="Description" attribute="1" defaultMemberUniqueName="[Downtime_Factors].[Description].[All]" allUniqueName="[Downtime_Factors].[Description].[All]" dimensionUniqueName="[Downtime_Factors]" displayFolder="" count="0" memberValueDatatype="130" unbalanced="0"/>
    <cacheHierarchy uniqueName="[Downtime_Factors].[Operator Error]" caption="Operator Error" attribute="1" defaultMemberUniqueName="[Downtime_Factors].[Operator Error].[All]" allUniqueName="[Downtime_Factors].[Operator Error].[All]" dimensionUniqueName="[Downtime_Factors]" displayFolder="" count="2" memberValueDatatype="130" unbalanced="0"/>
    <cacheHierarchy uniqueName="[Line_Downtime].[Batch]" caption="Batch" attribute="1" defaultMemberUniqueName="[Line_Downtime].[Batch].[All]" allUniqueName="[Line_Downtime].[Batch].[All]" dimensionUniqueName="[Line_Downtime]" displayFolder="" count="0" memberValueDatatype="130" unbalanced="0"/>
    <cacheHierarchy uniqueName="[Line_Downtime].[Factor]" caption="Factor" attribute="1" defaultMemberUniqueName="[Line_Downtime].[Factor].[All]" allUniqueName="[Line_Downtime].[Factor].[All]" dimensionUniqueName="[Line_Downtime]" displayFolder="" count="0" memberValueDatatype="130" unbalanced="0"/>
    <cacheHierarchy uniqueName="[Line_Downtime].[Downtime]" caption="Downtime" attribute="1" defaultMemberUniqueName="[Line_Downtime].[Downtime].[All]" allUniqueName="[Line_Downtime].[Downtime].[All]" dimensionUniqueName="[Line_Downtime]" displayFolder="" count="0" memberValueDatatype="5" unbalanced="0"/>
    <cacheHierarchy uniqueName="[Line_Productivity].[Date]" caption="Date" attribute="1" time="1" defaultMemberUniqueName="[Line_Productivity].[Date].[All]" allUniqueName="[Line_Productivity].[Date].[All]" dimensionUniqueName="[Line_Productivity]" displayFolder="" count="0" memberValueDatatype="7" unbalanced="0"/>
    <cacheHierarchy uniqueName="[Line_Productivity].[Month]" caption="Month" attribute="1" defaultMemberUniqueName="[Line_Productivity].[Month].[All]" allUniqueName="[Line_Productivity].[Month].[All]" dimensionUniqueName="[Line_Productivity]" displayFolder="" count="2" memberValueDatatype="130" unbalanced="0"/>
    <cacheHierarchy uniqueName="[Line_Productivity].[Day]" caption="Day" attribute="1" defaultMemberUniqueName="[Line_Productivity].[Day].[All]" allUniqueName="[Line_Productivity].[Day].[All]" dimensionUniqueName="[Line_Productivity]" displayFolder="" count="0" memberValueDatatype="130" unbalanced="0"/>
    <cacheHierarchy uniqueName="[Line_Productivity].[Year]" caption="Year" attribute="1" defaultMemberUniqueName="[Line_Productivity].[Year].[All]" allUniqueName="[Line_Productivity].[Year].[All]" dimensionUniqueName="[Line_Productivity]" displayFolder="" count="2" memberValueDatatype="130" unbalanced="0">
      <fieldsUsage count="2">
        <fieldUsage x="-1"/>
        <fieldUsage x="4"/>
      </fieldsUsage>
    </cacheHierarchy>
    <cacheHierarchy uniqueName="[Line_Productivity].[Product]" caption="Product" attribute="1" defaultMemberUniqueName="[Line_Productivity].[Product].[All]" allUniqueName="[Line_Productivity].[Product].[All]" dimensionUniqueName="[Line_Productivity]" displayFolder="" count="0" memberValueDatatype="130" unbalanced="0"/>
    <cacheHierarchy uniqueName="[Line_Productivity].[Batch]" caption="Batch" attribute="1" defaultMemberUniqueName="[Line_Productivity].[Batch].[All]" allUniqueName="[Line_Productivity].[Batch].[All]" dimensionUniqueName="[Line_Productivity]" displayFolder="" count="0" memberValueDatatype="130" unbalanced="0"/>
    <cacheHierarchy uniqueName="[Line_Productivity].[Operator]" caption="Operator" attribute="1" defaultMemberUniqueName="[Line_Productivity].[Operator].[All]" allUniqueName="[Line_Productivity].[Operator].[All]" dimensionUniqueName="[Line_Productivity]" displayFolder="" count="2" memberValueDatatype="130" unbalanced="0"/>
    <cacheHierarchy uniqueName="[Line_Productivity].[Start Time]" caption="Start Time" attribute="1" time="1" defaultMemberUniqueName="[Line_Productivity].[Start Time].[All]" allUniqueName="[Line_Productivity].[Start Time].[All]" dimensionUniqueName="[Line_Productivity]" displayFolder="" count="0" memberValueDatatype="7" unbalanced="0"/>
    <cacheHierarchy uniqueName="[Line_Productivity].[End Time]" caption="End Time" attribute="1" time="1" defaultMemberUniqueName="[Line_Productivity].[End Time].[All]" allUniqueName="[Line_Productivity].[End Time].[All]" dimensionUniqueName="[Line_Productivity]" displayFolder="" count="0" memberValueDatatype="7" unbalanced="0"/>
    <cacheHierarchy uniqueName="[Line_Productivity].[Worked Hours]" caption="Worked Hours" attribute="1" defaultMemberUniqueName="[Line_Productivity].[Worked Hours].[All]" allUniqueName="[Line_Productivity].[Worked Hours].[All]" dimensionUniqueName="[Line_Productivity]" displayFolder="" count="0" memberValueDatatype="5" unbalanced="0"/>
    <cacheHierarchy uniqueName="[Line_Productivity].[Min Batch Time]" caption="Min Batch Time" attribute="1" defaultMemberUniqueName="[Line_Productivity].[Min Batch Time].[All]" allUniqueName="[Line_Productivity].[Min Batch Time].[All]" dimensionUniqueName="[Line_Productivity]" displayFolder="" count="0" memberValueDatatype="5" unbalanced="0"/>
    <cacheHierarchy uniqueName="[Line_Productivity].[Date (Month)]" caption="Date (Month)" attribute="1" defaultMemberUniqueName="[Line_Productivity].[Date (Month)].[All]" allUniqueName="[Line_Productivity].[Date (Month)].[All]" dimensionUniqueName="[Line_Productivity]" displayFolder="" count="0" memberValueDatatype="130" unbalanced="0"/>
    <cacheHierarchy uniqueName="[Product].[Product]" caption="Product" attribute="1" defaultMemberUniqueName="[Product].[Product].[All]" allUniqueName="[Product].[Product].[All]" dimensionUniqueName="[Product]" displayFolder="" count="2" memberValueDatatype="130" unbalanced="0">
      <fieldsUsage count="2">
        <fieldUsage x="-1"/>
        <fieldUsage x="0"/>
      </fieldsUsage>
    </cacheHierarchy>
    <cacheHierarchy uniqueName="[Product].[Flavor]" caption="Flavor" attribute="1" defaultMemberUniqueName="[Product].[Flavor].[All]" allUniqueName="[Product].[Flavor].[All]" dimensionUniqueName="[Product]" displayFolder="" count="0" memberValueDatatype="130" unbalanced="0"/>
    <cacheHierarchy uniqueName="[Product].[Size]" caption="Size" attribute="1" defaultMemberUniqueName="[Product].[Size].[All]" allUniqueName="[Product].[Size].[All]" dimensionUniqueName="[Product]" displayFolder="" count="0" memberValueDatatype="130" unbalanced="0"/>
    <cacheHierarchy uniqueName="[Product].[Min batch time]" caption="Min batch time" attribute="1" defaultMemberUniqueName="[Product].[Min batch time].[All]" allUniqueName="[Product].[Min batch time].[All]" dimensionUniqueName="[Product]" displayFolder="" count="0" memberValueDatatype="5" unbalanced="0"/>
    <cacheHierarchy uniqueName="[Line_Productivity].[Date (Month Index)]" caption="Date (Month Index)" attribute="1" defaultMemberUniqueName="[Line_Productivity].[Date (Month Index)].[All]" allUniqueName="[Line_Productivity].[Date (Month Index)].[All]" dimensionUniqueName="[Line_Productivity]" displayFolder="" count="0" memberValueDatatype="20" unbalanced="0" hidden="1"/>
    <cacheHierarchy uniqueName="[Measures].[Total Worked Hours]" caption="Total Worked Hours" measure="1" displayFolder="" measureGroup="Line_Productivity" count="0" oneField="1">
      <fieldsUsage count="1">
        <fieldUsage x="3"/>
      </fieldsUsage>
    </cacheHierarchy>
    <cacheHierarchy uniqueName="[Measures].[Total Min Batch Time]" caption="Total Min Batch Time" measure="1" displayFolder="" measureGroup="Line_Productivity" count="0"/>
    <cacheHierarchy uniqueName="[Measures].[Line Eff %]" caption="Line Eff %" measure="1" displayFolder="" measureGroup="Line_Productivity" count="0"/>
    <cacheHierarchy uniqueName="[Measures].[Total Downtime]" caption="Total Downtime" measure="1" displayFolder="" measureGroup="Line_Productivity" count="0"/>
    <cacheHierarchy uniqueName="[Measures].[Line ineff %]" caption="Line ineff %" measure="1" displayFolder="" measureGroup="Line_Productivity" count="0"/>
    <cacheHierarchy uniqueName="[Measures].[DOWNTIME RATIO]" caption="DOWNTIME RATIO" measure="1" displayFolder="" measureGroup="Line_Productivity" count="0"/>
    <cacheHierarchy uniqueName="[Measures].[STANDARD TIME RATIO]" caption="STANDARD TIME RATIO" measure="1" displayFolder="" measureGroup="Line_Productivity" count="0"/>
    <cacheHierarchy uniqueName="[Measures].[Total Batch Count]" caption="Total Batch Count" measure="1" displayFolder="" measureGroup="Line_Productivity" count="0"/>
    <cacheHierarchy uniqueName="[Measures].[AVE BATCH DOWNTIME]" caption="AVE BATCH DOWNTIME" measure="1" displayFolder="" measureGroup="Line_Productivity" count="0"/>
    <cacheHierarchy uniqueName="[Measures].[RATIO]" caption="RATIO" measure="1" displayFolder="" measureGroup="Line_Productivity" count="0"/>
    <cacheHierarchy uniqueName="[Measures].[ STANDARD TIME RATIO]" caption=" STANDARD TIME RATIO" measure="1" displayFolder="" measureGroup="Line_Productivity" count="0"/>
    <cacheHierarchy uniqueName="[Measures].[__XL_Count Product]" caption="__XL_Count Product" measure="1" displayFolder="" measureGroup="Product" count="0" hidden="1"/>
    <cacheHierarchy uniqueName="[Measures].[__XL_Count Downtime_Factors]" caption="__XL_Count Downtime_Factors" measure="1" displayFolder="" measureGroup="Downtime_Factors" count="0" hidden="1"/>
    <cacheHierarchy uniqueName="[Measures].[__XL_Count Line_Downtime]" caption="__XL_Count Line_Downtime" measure="1" displayFolder="" measureGroup="Line_Downtime" count="0" hidden="1"/>
    <cacheHierarchy uniqueName="[Measures].[__XL_Count Line_Productivity]" caption="__XL_Count Line_Productivity" measure="1" displayFolder="" measureGroup="Line_Productivity" count="0" hidden="1"/>
    <cacheHierarchy uniqueName="[Measures].[__No measures defined]" caption="__No measures defined" measure="1" displayFolder="" count="0" hidden="1"/>
    <cacheHierarchy uniqueName="[Measures].[Sum of Min batch time]" caption="Sum of Min batch time" measure="1" displayFolder="" measureGroup="Product" count="0" hidden="1">
      <extLst>
        <ext xmlns:x15="http://schemas.microsoft.com/office/spreadsheetml/2010/11/main" uri="{B97F6D7D-B522-45F9-BDA1-12C45D357490}">
          <x15:cacheHierarchy aggregatedColumn="21"/>
        </ext>
      </extLst>
    </cacheHierarchy>
    <cacheHierarchy uniqueName="[Measures].[Sum of Min Batch Time 2]" caption="Sum of Min Batch Time 2" measure="1" displayFolder="" measureGroup="Line_Productivity" count="0" oneField="1" hidden="1">
      <fieldsUsage count="1">
        <fieldUsage x="1"/>
      </fieldsUsage>
      <extLst>
        <ext xmlns:x15="http://schemas.microsoft.com/office/spreadsheetml/2010/11/main" uri="{B97F6D7D-B522-45F9-BDA1-12C45D357490}">
          <x15:cacheHierarchy aggregatedColumn="16"/>
        </ext>
      </extLst>
    </cacheHierarchy>
    <cacheHierarchy uniqueName="[Measures].[Sum of Worked Hours]" caption="Sum of Worked Hours" measure="1" displayFolder="" measureGroup="Line_Productivity" count="0" hidden="1">
      <extLst>
        <ext xmlns:x15="http://schemas.microsoft.com/office/spreadsheetml/2010/11/main" uri="{B97F6D7D-B522-45F9-BDA1-12C45D357490}">
          <x15:cacheHierarchy aggregatedColumn="15"/>
        </ext>
      </extLst>
    </cacheHierarchy>
    <cacheHierarchy uniqueName="[Measures].[Sum of Downtime]" caption="Sum of Downtime" measure="1" displayFolder="" measureGroup="Line_Downtime" count="0" oneField="1" hidden="1">
      <fieldsUsage count="1">
        <fieldUsage x="2"/>
      </fieldsUsage>
      <extLst>
        <ext xmlns:x15="http://schemas.microsoft.com/office/spreadsheetml/2010/11/main" uri="{B97F6D7D-B522-45F9-BDA1-12C45D357490}">
          <x15:cacheHierarchy aggregatedColumn="5"/>
        </ext>
      </extLst>
    </cacheHierarchy>
    <cacheHierarchy uniqueName="[Measures].[Count of Description]" caption="Count of Description" measure="1" displayFolder="" measureGroup="Downtime_Factors" count="0" hidden="1">
      <extLst>
        <ext xmlns:x15="http://schemas.microsoft.com/office/spreadsheetml/2010/11/main" uri="{B97F6D7D-B522-45F9-BDA1-12C45D357490}">
          <x15:cacheHierarchy aggregatedColumn="1"/>
        </ext>
      </extLst>
    </cacheHierarchy>
    <cacheHierarchy uniqueName="[Measures].[Count of Operator Error]" caption="Count of Operator Error" measure="1" displayFolder="" measureGroup="Downtime_Factors" count="0" hidden="1">
      <extLst>
        <ext xmlns:x15="http://schemas.microsoft.com/office/spreadsheetml/2010/11/main" uri="{B97F6D7D-B522-45F9-BDA1-12C45D357490}">
          <x15:cacheHierarchy aggregatedColumn="2"/>
        </ext>
      </extLst>
    </cacheHierarchy>
    <cacheHierarchy uniqueName="[Measures].[Count of Factor]" caption="Count of Factor" measure="1" displayFolder="" measureGroup="Line_Downtime" count="0" hidden="1">
      <extLst>
        <ext xmlns:x15="http://schemas.microsoft.com/office/spreadsheetml/2010/11/main" uri="{B97F6D7D-B522-45F9-BDA1-12C45D357490}">
          <x15:cacheHierarchy aggregatedColumn="4"/>
        </ext>
      </extLst>
    </cacheHierarchy>
    <cacheHierarchy uniqueName="[Measures].[Count of Batch]" caption="Count of Batch" measure="1" displayFolder="" measureGroup="Line_Productivity" count="0" hidden="1">
      <extLst>
        <ext xmlns:x15="http://schemas.microsoft.com/office/spreadsheetml/2010/11/main" uri="{B97F6D7D-B522-45F9-BDA1-12C45D357490}">
          <x15:cacheHierarchy aggregatedColumn="11"/>
        </ext>
      </extLst>
    </cacheHierarchy>
    <cacheHierarchy uniqueName="[Measures].[Count of Batch 2]" caption="Count of Batch 2" measure="1" displayFolder="" measureGroup="Line_Downtime" count="0" hidden="1">
      <extLst>
        <ext xmlns:x15="http://schemas.microsoft.com/office/spreadsheetml/2010/11/main" uri="{B97F6D7D-B522-45F9-BDA1-12C45D357490}">
          <x15:cacheHierarchy aggregatedColumn="3"/>
        </ext>
      </extLst>
    </cacheHierarchy>
    <cacheHierarchy uniqueName="[Measures].[Count of Product]" caption="Count of Product" measure="1" displayFolder="" measureGroup="Line_Productivity" count="0" hidden="1">
      <extLst>
        <ext xmlns:x15="http://schemas.microsoft.com/office/spreadsheetml/2010/11/main" uri="{B97F6D7D-B522-45F9-BDA1-12C45D357490}">
          <x15:cacheHierarchy aggregatedColumn="10"/>
        </ext>
      </extLst>
    </cacheHierarchy>
    <cacheHierarchy uniqueName="[Measures].[Sum of Factor]" caption="Sum of Factor" measure="1" displayFolder="" measureGroup="Downtime_Factors" count="0" hidden="1">
      <extLst>
        <ext xmlns:x15="http://schemas.microsoft.com/office/spreadsheetml/2010/11/main" uri="{B97F6D7D-B522-45F9-BDA1-12C45D357490}">
          <x15:cacheHierarchy aggregatedColumn="0"/>
        </ext>
      </extLst>
    </cacheHierarchy>
    <cacheHierarchy uniqueName="[Measures].[Count of Downtime]" caption="Count of Downtime" measure="1" displayFolder="" measureGroup="Line_Downtime" count="0" hidden="1">
      <extLst>
        <ext xmlns:x15="http://schemas.microsoft.com/office/spreadsheetml/2010/11/main" uri="{B97F6D7D-B522-45F9-BDA1-12C45D357490}">
          <x15:cacheHierarchy aggregatedColumn="5"/>
        </ext>
      </extLst>
    </cacheHierarchy>
  </cacheHierarchies>
  <kpis count="0"/>
  <dimensions count="5">
    <dimension name="Downtime_Factors" uniqueName="[Downtime_Factors]" caption="Downtime_Factors"/>
    <dimension name="Line_Downtime" uniqueName="[Line_Downtime]" caption="Line_Downtime"/>
    <dimension name="Line_Productivity" uniqueName="[Line_Productivity]" caption="Line_Productivity"/>
    <dimension measure="1" name="Measures" uniqueName="[Measures]" caption="Measures"/>
    <dimension name="Product" uniqueName="[Product]" caption="Product"/>
  </dimensions>
  <measureGroups count="4">
    <measureGroup name="Downtime_Factors" caption="Downtime_Factors"/>
    <measureGroup name="Line_Downtime" caption="Line_Downtime"/>
    <measureGroup name="Line_Productivity" caption="Line_Productivity"/>
    <measureGroup name="Product" caption="Product"/>
  </measureGroups>
  <maps count="8">
    <map measureGroup="0" dimension="0"/>
    <map measureGroup="1" dimension="0"/>
    <map measureGroup="1" dimension="1"/>
    <map measureGroup="1" dimension="2"/>
    <map measureGroup="1" dimension="4"/>
    <map measureGroup="2" dimension="2"/>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995.330196527779" backgroundQuery="1" createdVersion="8" refreshedVersion="8" minRefreshableVersion="3" recordCount="0" supportSubquery="1" supportAdvancedDrill="1" xr:uid="{549DAD2A-F7A1-4EB0-8A21-D6965872B235}">
  <cacheSource type="external" connectionId="6"/>
  <cacheFields count="3">
    <cacheField name="[Line_Productivity].[Operator].[Operator]" caption="Operator" numFmtId="0" hierarchy="12" level="1">
      <sharedItems count="4">
        <s v="Charlie"/>
        <s v="Dee"/>
        <s v="Dennis"/>
        <s v="Mac"/>
      </sharedItems>
    </cacheField>
    <cacheField name="[Measures].[Total Downtime]" caption="Total Downtime" numFmtId="0" hierarchy="26" level="32767"/>
    <cacheField name="[Line_Productivity].[Year].[Year]" caption="Year" numFmtId="0" hierarchy="9" level="1">
      <sharedItems containsSemiMixedTypes="0" containsNonDate="0" containsString="0"/>
    </cacheField>
  </cacheFields>
  <cacheHierarchies count="51">
    <cacheHierarchy uniqueName="[Downtime_Factors].[Factor]" caption="Factor" attribute="1" defaultMemberUniqueName="[Downtime_Factors].[Factor].[All]" allUniqueName="[Downtime_Factors].[Factor].[All]" dimensionUniqueName="[Downtime_Factors]" displayFolder="" count="0" memberValueDatatype="20" unbalanced="0"/>
    <cacheHierarchy uniqueName="[Downtime_Factors].[Description]" caption="Description" attribute="1" defaultMemberUniqueName="[Downtime_Factors].[Description].[All]" allUniqueName="[Downtime_Factors].[Description].[All]" dimensionUniqueName="[Downtime_Factors]" displayFolder="" count="0" memberValueDatatype="130" unbalanced="0"/>
    <cacheHierarchy uniqueName="[Downtime_Factors].[Operator Error]" caption="Operator Error" attribute="1" defaultMemberUniqueName="[Downtime_Factors].[Operator Error].[All]" allUniqueName="[Downtime_Factors].[Operator Error].[All]" dimensionUniqueName="[Downtime_Factors]" displayFolder="" count="2" memberValueDatatype="130" unbalanced="0"/>
    <cacheHierarchy uniqueName="[Line_Downtime].[Batch]" caption="Batch" attribute="1" defaultMemberUniqueName="[Line_Downtime].[Batch].[All]" allUniqueName="[Line_Downtime].[Batch].[All]" dimensionUniqueName="[Line_Downtime]" displayFolder="" count="0" memberValueDatatype="130" unbalanced="0"/>
    <cacheHierarchy uniqueName="[Line_Downtime].[Factor]" caption="Factor" attribute="1" defaultMemberUniqueName="[Line_Downtime].[Factor].[All]" allUniqueName="[Line_Downtime].[Factor].[All]" dimensionUniqueName="[Line_Downtime]" displayFolder="" count="0" memberValueDatatype="130" unbalanced="0"/>
    <cacheHierarchy uniqueName="[Line_Downtime].[Downtime]" caption="Downtime" attribute="1" defaultMemberUniqueName="[Line_Downtime].[Downtime].[All]" allUniqueName="[Line_Downtime].[Downtime].[All]" dimensionUniqueName="[Line_Downtime]" displayFolder="" count="0" memberValueDatatype="5" unbalanced="0"/>
    <cacheHierarchy uniqueName="[Line_Productivity].[Date]" caption="Date" attribute="1" time="1" defaultMemberUniqueName="[Line_Productivity].[Date].[All]" allUniqueName="[Line_Productivity].[Date].[All]" dimensionUniqueName="[Line_Productivity]" displayFolder="" count="0" memberValueDatatype="7" unbalanced="0"/>
    <cacheHierarchy uniqueName="[Line_Productivity].[Month]" caption="Month" attribute="1" defaultMemberUniqueName="[Line_Productivity].[Month].[All]" allUniqueName="[Line_Productivity].[Month].[All]" dimensionUniqueName="[Line_Productivity]" displayFolder="" count="2" memberValueDatatype="130" unbalanced="0"/>
    <cacheHierarchy uniqueName="[Line_Productivity].[Day]" caption="Day" attribute="1" defaultMemberUniqueName="[Line_Productivity].[Day].[All]" allUniqueName="[Line_Productivity].[Day].[All]" dimensionUniqueName="[Line_Productivity]" displayFolder="" count="0" memberValueDatatype="130" unbalanced="0"/>
    <cacheHierarchy uniqueName="[Line_Productivity].[Year]" caption="Year" attribute="1" defaultMemberUniqueName="[Line_Productivity].[Year].[All]" allUniqueName="[Line_Productivity].[Year].[All]" dimensionUniqueName="[Line_Productivity]" displayFolder="" count="2" memberValueDatatype="130" unbalanced="0">
      <fieldsUsage count="2">
        <fieldUsage x="-1"/>
        <fieldUsage x="2"/>
      </fieldsUsage>
    </cacheHierarchy>
    <cacheHierarchy uniqueName="[Line_Productivity].[Product]" caption="Product" attribute="1" defaultMemberUniqueName="[Line_Productivity].[Product].[All]" allUniqueName="[Line_Productivity].[Product].[All]" dimensionUniqueName="[Line_Productivity]" displayFolder="" count="0" memberValueDatatype="130" unbalanced="0"/>
    <cacheHierarchy uniqueName="[Line_Productivity].[Batch]" caption="Batch" attribute="1" defaultMemberUniqueName="[Line_Productivity].[Batch].[All]" allUniqueName="[Line_Productivity].[Batch].[All]" dimensionUniqueName="[Line_Productivity]" displayFolder="" count="0" memberValueDatatype="130" unbalanced="0"/>
    <cacheHierarchy uniqueName="[Line_Productivity].[Operator]" caption="Operator" attribute="1" defaultMemberUniqueName="[Line_Productivity].[Operator].[All]" allUniqueName="[Line_Productivity].[Operator].[All]" dimensionUniqueName="[Line_Productivity]" displayFolder="" count="2" memberValueDatatype="130" unbalanced="0">
      <fieldsUsage count="2">
        <fieldUsage x="-1"/>
        <fieldUsage x="0"/>
      </fieldsUsage>
    </cacheHierarchy>
    <cacheHierarchy uniqueName="[Line_Productivity].[Start Time]" caption="Start Time" attribute="1" time="1" defaultMemberUniqueName="[Line_Productivity].[Start Time].[All]" allUniqueName="[Line_Productivity].[Start Time].[All]" dimensionUniqueName="[Line_Productivity]" displayFolder="" count="0" memberValueDatatype="7" unbalanced="0"/>
    <cacheHierarchy uniqueName="[Line_Productivity].[End Time]" caption="End Time" attribute="1" time="1" defaultMemberUniqueName="[Line_Productivity].[End Time].[All]" allUniqueName="[Line_Productivity].[End Time].[All]" dimensionUniqueName="[Line_Productivity]" displayFolder="" count="0" memberValueDatatype="7" unbalanced="0"/>
    <cacheHierarchy uniqueName="[Line_Productivity].[Worked Hours]" caption="Worked Hours" attribute="1" defaultMemberUniqueName="[Line_Productivity].[Worked Hours].[All]" allUniqueName="[Line_Productivity].[Worked Hours].[All]" dimensionUniqueName="[Line_Productivity]" displayFolder="" count="0" memberValueDatatype="5" unbalanced="0"/>
    <cacheHierarchy uniqueName="[Line_Productivity].[Min Batch Time]" caption="Min Batch Time" attribute="1" defaultMemberUniqueName="[Line_Productivity].[Min Batch Time].[All]" allUniqueName="[Line_Productivity].[Min Batch Time].[All]" dimensionUniqueName="[Line_Productivity]" displayFolder="" count="0" memberValueDatatype="5" unbalanced="0"/>
    <cacheHierarchy uniqueName="[Line_Productivity].[Date (Month)]" caption="Date (Month)" attribute="1" defaultMemberUniqueName="[Line_Productivity].[Date (Month)].[All]" allUniqueName="[Line_Productivity].[Date (Month)].[All]" dimensionUniqueName="[Line_Productivity]" displayFolder="" count="0" memberValueDatatype="130" unbalanced="0"/>
    <cacheHierarchy uniqueName="[Product].[Product]" caption="Product" attribute="1" defaultMemberUniqueName="[Product].[Product].[All]" allUniqueName="[Product].[Product].[All]" dimensionUniqueName="[Product]" displayFolder="" count="0" memberValueDatatype="130" unbalanced="0"/>
    <cacheHierarchy uniqueName="[Product].[Flavor]" caption="Flavor" attribute="1" defaultMemberUniqueName="[Product].[Flavor].[All]" allUniqueName="[Product].[Flavor].[All]" dimensionUniqueName="[Product]" displayFolder="" count="0" memberValueDatatype="130" unbalanced="0"/>
    <cacheHierarchy uniqueName="[Product].[Size]" caption="Size" attribute="1" defaultMemberUniqueName="[Product].[Size].[All]" allUniqueName="[Product].[Size].[All]" dimensionUniqueName="[Product]" displayFolder="" count="0" memberValueDatatype="130" unbalanced="0"/>
    <cacheHierarchy uniqueName="[Product].[Min batch time]" caption="Min batch time" attribute="1" defaultMemberUniqueName="[Product].[Min batch time].[All]" allUniqueName="[Product].[Min batch time].[All]" dimensionUniqueName="[Product]" displayFolder="" count="0" memberValueDatatype="5" unbalanced="0"/>
    <cacheHierarchy uniqueName="[Line_Productivity].[Date (Month Index)]" caption="Date (Month Index)" attribute="1" defaultMemberUniqueName="[Line_Productivity].[Date (Month Index)].[All]" allUniqueName="[Line_Productivity].[Date (Month Index)].[All]" dimensionUniqueName="[Line_Productivity]" displayFolder="" count="0" memberValueDatatype="20" unbalanced="0" hidden="1"/>
    <cacheHierarchy uniqueName="[Measures].[Total Worked Hours]" caption="Total Worked Hours" measure="1" displayFolder="" measureGroup="Line_Productivity" count="0"/>
    <cacheHierarchy uniqueName="[Measures].[Total Min Batch Time]" caption="Total Min Batch Time" measure="1" displayFolder="" measureGroup="Line_Productivity" count="0"/>
    <cacheHierarchy uniqueName="[Measures].[Line Eff %]" caption="Line Eff %" measure="1" displayFolder="" measureGroup="Line_Productivity" count="0"/>
    <cacheHierarchy uniqueName="[Measures].[Total Downtime]" caption="Total Downtime" measure="1" displayFolder="" measureGroup="Line_Productivity" count="0" oneField="1">
      <fieldsUsage count="1">
        <fieldUsage x="1"/>
      </fieldsUsage>
    </cacheHierarchy>
    <cacheHierarchy uniqueName="[Measures].[Line ineff %]" caption="Line ineff %" measure="1" displayFolder="" measureGroup="Line_Productivity" count="0"/>
    <cacheHierarchy uniqueName="[Measures].[DOWNTIME RATIO]" caption="DOWNTIME RATIO" measure="1" displayFolder="" measureGroup="Line_Productivity" count="0"/>
    <cacheHierarchy uniqueName="[Measures].[STANDARD TIME RATIO]" caption="STANDARD TIME RATIO" measure="1" displayFolder="" measureGroup="Line_Productivity" count="0"/>
    <cacheHierarchy uniqueName="[Measures].[Total Batch Count]" caption="Total Batch Count" measure="1" displayFolder="" measureGroup="Line_Productivity" count="0"/>
    <cacheHierarchy uniqueName="[Measures].[AVE BATCH DOWNTIME]" caption="AVE BATCH DOWNTIME" measure="1" displayFolder="" measureGroup="Line_Productivity" count="0"/>
    <cacheHierarchy uniqueName="[Measures].[RATIO]" caption="RATIO" measure="1" displayFolder="" measureGroup="Line_Productivity" count="0"/>
    <cacheHierarchy uniqueName="[Measures].[ STANDARD TIME RATIO]" caption=" STANDARD TIME RATIO" measure="1" displayFolder="" measureGroup="Line_Productivity" count="0"/>
    <cacheHierarchy uniqueName="[Measures].[__XL_Count Product]" caption="__XL_Count Product" measure="1" displayFolder="" measureGroup="Product" count="0" hidden="1"/>
    <cacheHierarchy uniqueName="[Measures].[__XL_Count Downtime_Factors]" caption="__XL_Count Downtime_Factors" measure="1" displayFolder="" measureGroup="Downtime_Factors" count="0" hidden="1"/>
    <cacheHierarchy uniqueName="[Measures].[__XL_Count Line_Downtime]" caption="__XL_Count Line_Downtime" measure="1" displayFolder="" measureGroup="Line_Downtime" count="0" hidden="1"/>
    <cacheHierarchy uniqueName="[Measures].[__XL_Count Line_Productivity]" caption="__XL_Count Line_Productivity" measure="1" displayFolder="" measureGroup="Line_Productivity" count="0" hidden="1"/>
    <cacheHierarchy uniqueName="[Measures].[__No measures defined]" caption="__No measures defined" measure="1" displayFolder="" count="0" hidden="1"/>
    <cacheHierarchy uniqueName="[Measures].[Sum of Min batch time]" caption="Sum of Min batch time" measure="1" displayFolder="" measureGroup="Product" count="0" hidden="1">
      <extLst>
        <ext xmlns:x15="http://schemas.microsoft.com/office/spreadsheetml/2010/11/main" uri="{B97F6D7D-B522-45F9-BDA1-12C45D357490}">
          <x15:cacheHierarchy aggregatedColumn="21"/>
        </ext>
      </extLst>
    </cacheHierarchy>
    <cacheHierarchy uniqueName="[Measures].[Sum of Min Batch Time 2]" caption="Sum of Min Batch Time 2" measure="1" displayFolder="" measureGroup="Line_Productivity" count="0" hidden="1">
      <extLst>
        <ext xmlns:x15="http://schemas.microsoft.com/office/spreadsheetml/2010/11/main" uri="{B97F6D7D-B522-45F9-BDA1-12C45D357490}">
          <x15:cacheHierarchy aggregatedColumn="16"/>
        </ext>
      </extLst>
    </cacheHierarchy>
    <cacheHierarchy uniqueName="[Measures].[Sum of Worked Hours]" caption="Sum of Worked Hours" measure="1" displayFolder="" measureGroup="Line_Productivity" count="0" hidden="1">
      <extLst>
        <ext xmlns:x15="http://schemas.microsoft.com/office/spreadsheetml/2010/11/main" uri="{B97F6D7D-B522-45F9-BDA1-12C45D357490}">
          <x15:cacheHierarchy aggregatedColumn="15"/>
        </ext>
      </extLst>
    </cacheHierarchy>
    <cacheHierarchy uniqueName="[Measures].[Sum of Downtime]" caption="Sum of Downtime" measure="1" displayFolder="" measureGroup="Line_Downtime" count="0" hidden="1">
      <extLst>
        <ext xmlns:x15="http://schemas.microsoft.com/office/spreadsheetml/2010/11/main" uri="{B97F6D7D-B522-45F9-BDA1-12C45D357490}">
          <x15:cacheHierarchy aggregatedColumn="5"/>
        </ext>
      </extLst>
    </cacheHierarchy>
    <cacheHierarchy uniqueName="[Measures].[Count of Description]" caption="Count of Description" measure="1" displayFolder="" measureGroup="Downtime_Factors" count="0" hidden="1">
      <extLst>
        <ext xmlns:x15="http://schemas.microsoft.com/office/spreadsheetml/2010/11/main" uri="{B97F6D7D-B522-45F9-BDA1-12C45D357490}">
          <x15:cacheHierarchy aggregatedColumn="1"/>
        </ext>
      </extLst>
    </cacheHierarchy>
    <cacheHierarchy uniqueName="[Measures].[Count of Operator Error]" caption="Count of Operator Error" measure="1" displayFolder="" measureGroup="Downtime_Factors" count="0" hidden="1">
      <extLst>
        <ext xmlns:x15="http://schemas.microsoft.com/office/spreadsheetml/2010/11/main" uri="{B97F6D7D-B522-45F9-BDA1-12C45D357490}">
          <x15:cacheHierarchy aggregatedColumn="2"/>
        </ext>
      </extLst>
    </cacheHierarchy>
    <cacheHierarchy uniqueName="[Measures].[Count of Factor]" caption="Count of Factor" measure="1" displayFolder="" measureGroup="Line_Downtime" count="0" hidden="1">
      <extLst>
        <ext xmlns:x15="http://schemas.microsoft.com/office/spreadsheetml/2010/11/main" uri="{B97F6D7D-B522-45F9-BDA1-12C45D357490}">
          <x15:cacheHierarchy aggregatedColumn="4"/>
        </ext>
      </extLst>
    </cacheHierarchy>
    <cacheHierarchy uniqueName="[Measures].[Count of Batch]" caption="Count of Batch" measure="1" displayFolder="" measureGroup="Line_Productivity" count="0" hidden="1">
      <extLst>
        <ext xmlns:x15="http://schemas.microsoft.com/office/spreadsheetml/2010/11/main" uri="{B97F6D7D-B522-45F9-BDA1-12C45D357490}">
          <x15:cacheHierarchy aggregatedColumn="11"/>
        </ext>
      </extLst>
    </cacheHierarchy>
    <cacheHierarchy uniqueName="[Measures].[Count of Batch 2]" caption="Count of Batch 2" measure="1" displayFolder="" measureGroup="Line_Downtime" count="0" hidden="1">
      <extLst>
        <ext xmlns:x15="http://schemas.microsoft.com/office/spreadsheetml/2010/11/main" uri="{B97F6D7D-B522-45F9-BDA1-12C45D357490}">
          <x15:cacheHierarchy aggregatedColumn="3"/>
        </ext>
      </extLst>
    </cacheHierarchy>
    <cacheHierarchy uniqueName="[Measures].[Count of Product]" caption="Count of Product" measure="1" displayFolder="" measureGroup="Line_Productivity" count="0" hidden="1">
      <extLst>
        <ext xmlns:x15="http://schemas.microsoft.com/office/spreadsheetml/2010/11/main" uri="{B97F6D7D-B522-45F9-BDA1-12C45D357490}">
          <x15:cacheHierarchy aggregatedColumn="10"/>
        </ext>
      </extLst>
    </cacheHierarchy>
    <cacheHierarchy uniqueName="[Measures].[Sum of Factor]" caption="Sum of Factor" measure="1" displayFolder="" measureGroup="Downtime_Factors" count="0" hidden="1">
      <extLst>
        <ext xmlns:x15="http://schemas.microsoft.com/office/spreadsheetml/2010/11/main" uri="{B97F6D7D-B522-45F9-BDA1-12C45D357490}">
          <x15:cacheHierarchy aggregatedColumn="0"/>
        </ext>
      </extLst>
    </cacheHierarchy>
    <cacheHierarchy uniqueName="[Measures].[Count of Downtime]" caption="Count of Downtime" measure="1" displayFolder="" measureGroup="Line_Downtime" count="0" hidden="1">
      <extLst>
        <ext xmlns:x15="http://schemas.microsoft.com/office/spreadsheetml/2010/11/main" uri="{B97F6D7D-B522-45F9-BDA1-12C45D357490}">
          <x15:cacheHierarchy aggregatedColumn="5"/>
        </ext>
      </extLst>
    </cacheHierarchy>
  </cacheHierarchies>
  <kpis count="0"/>
  <dimensions count="5">
    <dimension name="Downtime_Factors" uniqueName="[Downtime_Factors]" caption="Downtime_Factors"/>
    <dimension name="Line_Downtime" uniqueName="[Line_Downtime]" caption="Line_Downtime"/>
    <dimension name="Line_Productivity" uniqueName="[Line_Productivity]" caption="Line_Productivity"/>
    <dimension measure="1" name="Measures" uniqueName="[Measures]" caption="Measures"/>
    <dimension name="Product" uniqueName="[Product]" caption="Product"/>
  </dimensions>
  <measureGroups count="4">
    <measureGroup name="Downtime_Factors" caption="Downtime_Factors"/>
    <measureGroup name="Line_Downtime" caption="Line_Downtime"/>
    <measureGroup name="Line_Productivity" caption="Line_Productivity"/>
    <measureGroup name="Product" caption="Product"/>
  </measureGroups>
  <maps count="8">
    <map measureGroup="0" dimension="0"/>
    <map measureGroup="1" dimension="0"/>
    <map measureGroup="1" dimension="1"/>
    <map measureGroup="1" dimension="2"/>
    <map measureGroup="1" dimension="4"/>
    <map measureGroup="2" dimension="2"/>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995.330197106479" backgroundQuery="1" createdVersion="8" refreshedVersion="8" minRefreshableVersion="3" recordCount="0" supportSubquery="1" supportAdvancedDrill="1" xr:uid="{7F847622-84E4-4AB4-AF17-0C465FD345F5}">
  <cacheSource type="external" connectionId="6"/>
  <cacheFields count="3">
    <cacheField name="[Measures].[Total Downtime]" caption="Total Downtime" numFmtId="0" hierarchy="26" level="32767"/>
    <cacheField name="[Downtime_Factors].[Operator Error].[Operator Error]" caption="Operator Error" numFmtId="0" hierarchy="2" level="1">
      <sharedItems count="2">
        <s v="No"/>
        <s v="Yes"/>
      </sharedItems>
    </cacheField>
    <cacheField name="[Line_Productivity].[Year].[Year]" caption="Year" numFmtId="0" hierarchy="9" level="1">
      <sharedItems containsSemiMixedTypes="0" containsNonDate="0" containsString="0"/>
    </cacheField>
  </cacheFields>
  <cacheHierarchies count="51">
    <cacheHierarchy uniqueName="[Downtime_Factors].[Factor]" caption="Factor" attribute="1" defaultMemberUniqueName="[Downtime_Factors].[Factor].[All]" allUniqueName="[Downtime_Factors].[Factor].[All]" dimensionUniqueName="[Downtime_Factors]" displayFolder="" count="0" memberValueDatatype="20" unbalanced="0"/>
    <cacheHierarchy uniqueName="[Downtime_Factors].[Description]" caption="Description" attribute="1" defaultMemberUniqueName="[Downtime_Factors].[Description].[All]" allUniqueName="[Downtime_Factors].[Description].[All]" dimensionUniqueName="[Downtime_Factors]" displayFolder="" count="0" memberValueDatatype="130" unbalanced="0"/>
    <cacheHierarchy uniqueName="[Downtime_Factors].[Operator Error]" caption="Operator Error" attribute="1" defaultMemberUniqueName="[Downtime_Factors].[Operator Error].[All]" allUniqueName="[Downtime_Factors].[Operator Error].[All]" dimensionUniqueName="[Downtime_Factors]" displayFolder="" count="2" memberValueDatatype="130" unbalanced="0">
      <fieldsUsage count="2">
        <fieldUsage x="-1"/>
        <fieldUsage x="1"/>
      </fieldsUsage>
    </cacheHierarchy>
    <cacheHierarchy uniqueName="[Line_Downtime].[Batch]" caption="Batch" attribute="1" defaultMemberUniqueName="[Line_Downtime].[Batch].[All]" allUniqueName="[Line_Downtime].[Batch].[All]" dimensionUniqueName="[Line_Downtime]" displayFolder="" count="0" memberValueDatatype="130" unbalanced="0"/>
    <cacheHierarchy uniqueName="[Line_Downtime].[Factor]" caption="Factor" attribute="1" defaultMemberUniqueName="[Line_Downtime].[Factor].[All]" allUniqueName="[Line_Downtime].[Factor].[All]" dimensionUniqueName="[Line_Downtime]" displayFolder="" count="0" memberValueDatatype="130" unbalanced="0"/>
    <cacheHierarchy uniqueName="[Line_Downtime].[Downtime]" caption="Downtime" attribute="1" defaultMemberUniqueName="[Line_Downtime].[Downtime].[All]" allUniqueName="[Line_Downtime].[Downtime].[All]" dimensionUniqueName="[Line_Downtime]" displayFolder="" count="0" memberValueDatatype="5" unbalanced="0"/>
    <cacheHierarchy uniqueName="[Line_Productivity].[Date]" caption="Date" attribute="1" time="1" defaultMemberUniqueName="[Line_Productivity].[Date].[All]" allUniqueName="[Line_Productivity].[Date].[All]" dimensionUniqueName="[Line_Productivity]" displayFolder="" count="0" memberValueDatatype="7" unbalanced="0"/>
    <cacheHierarchy uniqueName="[Line_Productivity].[Month]" caption="Month" attribute="1" defaultMemberUniqueName="[Line_Productivity].[Month].[All]" allUniqueName="[Line_Productivity].[Month].[All]" dimensionUniqueName="[Line_Productivity]" displayFolder="" count="2" memberValueDatatype="130" unbalanced="0"/>
    <cacheHierarchy uniqueName="[Line_Productivity].[Day]" caption="Day" attribute="1" defaultMemberUniqueName="[Line_Productivity].[Day].[All]" allUniqueName="[Line_Productivity].[Day].[All]" dimensionUniqueName="[Line_Productivity]" displayFolder="" count="0" memberValueDatatype="130" unbalanced="0"/>
    <cacheHierarchy uniqueName="[Line_Productivity].[Year]" caption="Year" attribute="1" defaultMemberUniqueName="[Line_Productivity].[Year].[All]" allUniqueName="[Line_Productivity].[Year].[All]" dimensionUniqueName="[Line_Productivity]" displayFolder="" count="2" memberValueDatatype="130" unbalanced="0">
      <fieldsUsage count="2">
        <fieldUsage x="-1"/>
        <fieldUsage x="2"/>
      </fieldsUsage>
    </cacheHierarchy>
    <cacheHierarchy uniqueName="[Line_Productivity].[Product]" caption="Product" attribute="1" defaultMemberUniqueName="[Line_Productivity].[Product].[All]" allUniqueName="[Line_Productivity].[Product].[All]" dimensionUniqueName="[Line_Productivity]" displayFolder="" count="0" memberValueDatatype="130" unbalanced="0"/>
    <cacheHierarchy uniqueName="[Line_Productivity].[Batch]" caption="Batch" attribute="1" defaultMemberUniqueName="[Line_Productivity].[Batch].[All]" allUniqueName="[Line_Productivity].[Batch].[All]" dimensionUniqueName="[Line_Productivity]" displayFolder="" count="0" memberValueDatatype="130" unbalanced="0"/>
    <cacheHierarchy uniqueName="[Line_Productivity].[Operator]" caption="Operator" attribute="1" defaultMemberUniqueName="[Line_Productivity].[Operator].[All]" allUniqueName="[Line_Productivity].[Operator].[All]" dimensionUniqueName="[Line_Productivity]" displayFolder="" count="2" memberValueDatatype="130" unbalanced="0"/>
    <cacheHierarchy uniqueName="[Line_Productivity].[Start Time]" caption="Start Time" attribute="1" time="1" defaultMemberUniqueName="[Line_Productivity].[Start Time].[All]" allUniqueName="[Line_Productivity].[Start Time].[All]" dimensionUniqueName="[Line_Productivity]" displayFolder="" count="0" memberValueDatatype="7" unbalanced="0"/>
    <cacheHierarchy uniqueName="[Line_Productivity].[End Time]" caption="End Time" attribute="1" time="1" defaultMemberUniqueName="[Line_Productivity].[End Time].[All]" allUniqueName="[Line_Productivity].[End Time].[All]" dimensionUniqueName="[Line_Productivity]" displayFolder="" count="0" memberValueDatatype="7" unbalanced="0"/>
    <cacheHierarchy uniqueName="[Line_Productivity].[Worked Hours]" caption="Worked Hours" attribute="1" defaultMemberUniqueName="[Line_Productivity].[Worked Hours].[All]" allUniqueName="[Line_Productivity].[Worked Hours].[All]" dimensionUniqueName="[Line_Productivity]" displayFolder="" count="0" memberValueDatatype="5" unbalanced="0"/>
    <cacheHierarchy uniqueName="[Line_Productivity].[Min Batch Time]" caption="Min Batch Time" attribute="1" defaultMemberUniqueName="[Line_Productivity].[Min Batch Time].[All]" allUniqueName="[Line_Productivity].[Min Batch Time].[All]" dimensionUniqueName="[Line_Productivity]" displayFolder="" count="0" memberValueDatatype="5" unbalanced="0"/>
    <cacheHierarchy uniqueName="[Line_Productivity].[Date (Month)]" caption="Date (Month)" attribute="1" defaultMemberUniqueName="[Line_Productivity].[Date (Month)].[All]" allUniqueName="[Line_Productivity].[Date (Month)].[All]" dimensionUniqueName="[Line_Productivity]" displayFolder="" count="0" memberValueDatatype="130" unbalanced="0"/>
    <cacheHierarchy uniqueName="[Product].[Product]" caption="Product" attribute="1" defaultMemberUniqueName="[Product].[Product].[All]" allUniqueName="[Product].[Product].[All]" dimensionUniqueName="[Product]" displayFolder="" count="0" memberValueDatatype="130" unbalanced="0"/>
    <cacheHierarchy uniqueName="[Product].[Flavor]" caption="Flavor" attribute="1" defaultMemberUniqueName="[Product].[Flavor].[All]" allUniqueName="[Product].[Flavor].[All]" dimensionUniqueName="[Product]" displayFolder="" count="0" memberValueDatatype="130" unbalanced="0"/>
    <cacheHierarchy uniqueName="[Product].[Size]" caption="Size" attribute="1" defaultMemberUniqueName="[Product].[Size].[All]" allUniqueName="[Product].[Size].[All]" dimensionUniqueName="[Product]" displayFolder="" count="0" memberValueDatatype="130" unbalanced="0"/>
    <cacheHierarchy uniqueName="[Product].[Min batch time]" caption="Min batch time" attribute="1" defaultMemberUniqueName="[Product].[Min batch time].[All]" allUniqueName="[Product].[Min batch time].[All]" dimensionUniqueName="[Product]" displayFolder="" count="0" memberValueDatatype="5" unbalanced="0"/>
    <cacheHierarchy uniqueName="[Line_Productivity].[Date (Month Index)]" caption="Date (Month Index)" attribute="1" defaultMemberUniqueName="[Line_Productivity].[Date (Month Index)].[All]" allUniqueName="[Line_Productivity].[Date (Month Index)].[All]" dimensionUniqueName="[Line_Productivity]" displayFolder="" count="0" memberValueDatatype="20" unbalanced="0" hidden="1"/>
    <cacheHierarchy uniqueName="[Measures].[Total Worked Hours]" caption="Total Worked Hours" measure="1" displayFolder="" measureGroup="Line_Productivity" count="0"/>
    <cacheHierarchy uniqueName="[Measures].[Total Min Batch Time]" caption="Total Min Batch Time" measure="1" displayFolder="" measureGroup="Line_Productivity" count="0"/>
    <cacheHierarchy uniqueName="[Measures].[Line Eff %]" caption="Line Eff %" measure="1" displayFolder="" measureGroup="Line_Productivity" count="0"/>
    <cacheHierarchy uniqueName="[Measures].[Total Downtime]" caption="Total Downtime" measure="1" displayFolder="" measureGroup="Line_Productivity" count="0" oneField="1">
      <fieldsUsage count="1">
        <fieldUsage x="0"/>
      </fieldsUsage>
    </cacheHierarchy>
    <cacheHierarchy uniqueName="[Measures].[Line ineff %]" caption="Line ineff %" measure="1" displayFolder="" measureGroup="Line_Productivity" count="0"/>
    <cacheHierarchy uniqueName="[Measures].[DOWNTIME RATIO]" caption="DOWNTIME RATIO" measure="1" displayFolder="" measureGroup="Line_Productivity" count="0"/>
    <cacheHierarchy uniqueName="[Measures].[STANDARD TIME RATIO]" caption="STANDARD TIME RATIO" measure="1" displayFolder="" measureGroup="Line_Productivity" count="0"/>
    <cacheHierarchy uniqueName="[Measures].[Total Batch Count]" caption="Total Batch Count" measure="1" displayFolder="" measureGroup="Line_Productivity" count="0"/>
    <cacheHierarchy uniqueName="[Measures].[AVE BATCH DOWNTIME]" caption="AVE BATCH DOWNTIME" measure="1" displayFolder="" measureGroup="Line_Productivity" count="0"/>
    <cacheHierarchy uniqueName="[Measures].[RATIO]" caption="RATIO" measure="1" displayFolder="" measureGroup="Line_Productivity" count="0"/>
    <cacheHierarchy uniqueName="[Measures].[ STANDARD TIME RATIO]" caption=" STANDARD TIME RATIO" measure="1" displayFolder="" measureGroup="Line_Productivity" count="0"/>
    <cacheHierarchy uniqueName="[Measures].[__XL_Count Product]" caption="__XL_Count Product" measure="1" displayFolder="" measureGroup="Product" count="0" hidden="1"/>
    <cacheHierarchy uniqueName="[Measures].[__XL_Count Downtime_Factors]" caption="__XL_Count Downtime_Factors" measure="1" displayFolder="" measureGroup="Downtime_Factors" count="0" hidden="1"/>
    <cacheHierarchy uniqueName="[Measures].[__XL_Count Line_Downtime]" caption="__XL_Count Line_Downtime" measure="1" displayFolder="" measureGroup="Line_Downtime" count="0" hidden="1"/>
    <cacheHierarchy uniqueName="[Measures].[__XL_Count Line_Productivity]" caption="__XL_Count Line_Productivity" measure="1" displayFolder="" measureGroup="Line_Productivity" count="0" hidden="1"/>
    <cacheHierarchy uniqueName="[Measures].[__No measures defined]" caption="__No measures defined" measure="1" displayFolder="" count="0" hidden="1"/>
    <cacheHierarchy uniqueName="[Measures].[Sum of Min batch time]" caption="Sum of Min batch time" measure="1" displayFolder="" measureGroup="Product" count="0" hidden="1">
      <extLst>
        <ext xmlns:x15="http://schemas.microsoft.com/office/spreadsheetml/2010/11/main" uri="{B97F6D7D-B522-45F9-BDA1-12C45D357490}">
          <x15:cacheHierarchy aggregatedColumn="21"/>
        </ext>
      </extLst>
    </cacheHierarchy>
    <cacheHierarchy uniqueName="[Measures].[Sum of Min Batch Time 2]" caption="Sum of Min Batch Time 2" measure="1" displayFolder="" measureGroup="Line_Productivity" count="0" hidden="1">
      <extLst>
        <ext xmlns:x15="http://schemas.microsoft.com/office/spreadsheetml/2010/11/main" uri="{B97F6D7D-B522-45F9-BDA1-12C45D357490}">
          <x15:cacheHierarchy aggregatedColumn="16"/>
        </ext>
      </extLst>
    </cacheHierarchy>
    <cacheHierarchy uniqueName="[Measures].[Sum of Worked Hours]" caption="Sum of Worked Hours" measure="1" displayFolder="" measureGroup="Line_Productivity" count="0" hidden="1">
      <extLst>
        <ext xmlns:x15="http://schemas.microsoft.com/office/spreadsheetml/2010/11/main" uri="{B97F6D7D-B522-45F9-BDA1-12C45D357490}">
          <x15:cacheHierarchy aggregatedColumn="15"/>
        </ext>
      </extLst>
    </cacheHierarchy>
    <cacheHierarchy uniqueName="[Measures].[Sum of Downtime]" caption="Sum of Downtime" measure="1" displayFolder="" measureGroup="Line_Downtime" count="0" hidden="1">
      <extLst>
        <ext xmlns:x15="http://schemas.microsoft.com/office/spreadsheetml/2010/11/main" uri="{B97F6D7D-B522-45F9-BDA1-12C45D357490}">
          <x15:cacheHierarchy aggregatedColumn="5"/>
        </ext>
      </extLst>
    </cacheHierarchy>
    <cacheHierarchy uniqueName="[Measures].[Count of Description]" caption="Count of Description" measure="1" displayFolder="" measureGroup="Downtime_Factors" count="0" hidden="1">
      <extLst>
        <ext xmlns:x15="http://schemas.microsoft.com/office/spreadsheetml/2010/11/main" uri="{B97F6D7D-B522-45F9-BDA1-12C45D357490}">
          <x15:cacheHierarchy aggregatedColumn="1"/>
        </ext>
      </extLst>
    </cacheHierarchy>
    <cacheHierarchy uniqueName="[Measures].[Count of Operator Error]" caption="Count of Operator Error" measure="1" displayFolder="" measureGroup="Downtime_Factors" count="0" hidden="1">
      <extLst>
        <ext xmlns:x15="http://schemas.microsoft.com/office/spreadsheetml/2010/11/main" uri="{B97F6D7D-B522-45F9-BDA1-12C45D357490}">
          <x15:cacheHierarchy aggregatedColumn="2"/>
        </ext>
      </extLst>
    </cacheHierarchy>
    <cacheHierarchy uniqueName="[Measures].[Count of Factor]" caption="Count of Factor" measure="1" displayFolder="" measureGroup="Line_Downtime" count="0" hidden="1">
      <extLst>
        <ext xmlns:x15="http://schemas.microsoft.com/office/spreadsheetml/2010/11/main" uri="{B97F6D7D-B522-45F9-BDA1-12C45D357490}">
          <x15:cacheHierarchy aggregatedColumn="4"/>
        </ext>
      </extLst>
    </cacheHierarchy>
    <cacheHierarchy uniqueName="[Measures].[Count of Batch]" caption="Count of Batch" measure="1" displayFolder="" measureGroup="Line_Productivity" count="0" hidden="1">
      <extLst>
        <ext xmlns:x15="http://schemas.microsoft.com/office/spreadsheetml/2010/11/main" uri="{B97F6D7D-B522-45F9-BDA1-12C45D357490}">
          <x15:cacheHierarchy aggregatedColumn="11"/>
        </ext>
      </extLst>
    </cacheHierarchy>
    <cacheHierarchy uniqueName="[Measures].[Count of Batch 2]" caption="Count of Batch 2" measure="1" displayFolder="" measureGroup="Line_Downtime" count="0" hidden="1">
      <extLst>
        <ext xmlns:x15="http://schemas.microsoft.com/office/spreadsheetml/2010/11/main" uri="{B97F6D7D-B522-45F9-BDA1-12C45D357490}">
          <x15:cacheHierarchy aggregatedColumn="3"/>
        </ext>
      </extLst>
    </cacheHierarchy>
    <cacheHierarchy uniqueName="[Measures].[Count of Product]" caption="Count of Product" measure="1" displayFolder="" measureGroup="Line_Productivity" count="0" hidden="1">
      <extLst>
        <ext xmlns:x15="http://schemas.microsoft.com/office/spreadsheetml/2010/11/main" uri="{B97F6D7D-B522-45F9-BDA1-12C45D357490}">
          <x15:cacheHierarchy aggregatedColumn="10"/>
        </ext>
      </extLst>
    </cacheHierarchy>
    <cacheHierarchy uniqueName="[Measures].[Sum of Factor]" caption="Sum of Factor" measure="1" displayFolder="" measureGroup="Downtime_Factors" count="0" hidden="1">
      <extLst>
        <ext xmlns:x15="http://schemas.microsoft.com/office/spreadsheetml/2010/11/main" uri="{B97F6D7D-B522-45F9-BDA1-12C45D357490}">
          <x15:cacheHierarchy aggregatedColumn="0"/>
        </ext>
      </extLst>
    </cacheHierarchy>
    <cacheHierarchy uniqueName="[Measures].[Count of Downtime]" caption="Count of Downtime" measure="1" displayFolder="" measureGroup="Line_Downtime" count="0" hidden="1">
      <extLst>
        <ext xmlns:x15="http://schemas.microsoft.com/office/spreadsheetml/2010/11/main" uri="{B97F6D7D-B522-45F9-BDA1-12C45D357490}">
          <x15:cacheHierarchy aggregatedColumn="5"/>
        </ext>
      </extLst>
    </cacheHierarchy>
  </cacheHierarchies>
  <kpis count="0"/>
  <dimensions count="5">
    <dimension name="Downtime_Factors" uniqueName="[Downtime_Factors]" caption="Downtime_Factors"/>
    <dimension name="Line_Downtime" uniqueName="[Line_Downtime]" caption="Line_Downtime"/>
    <dimension name="Line_Productivity" uniqueName="[Line_Productivity]" caption="Line_Productivity"/>
    <dimension measure="1" name="Measures" uniqueName="[Measures]" caption="Measures"/>
    <dimension name="Product" uniqueName="[Product]" caption="Product"/>
  </dimensions>
  <measureGroups count="4">
    <measureGroup name="Downtime_Factors" caption="Downtime_Factors"/>
    <measureGroup name="Line_Downtime" caption="Line_Downtime"/>
    <measureGroup name="Line_Productivity" caption="Line_Productivity"/>
    <measureGroup name="Product" caption="Product"/>
  </measureGroups>
  <maps count="8">
    <map measureGroup="0" dimension="0"/>
    <map measureGroup="1" dimension="0"/>
    <map measureGroup="1" dimension="1"/>
    <map measureGroup="1" dimension="2"/>
    <map measureGroup="1" dimension="4"/>
    <map measureGroup="2" dimension="2"/>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995.330197222225" backgroundQuery="1" createdVersion="8" refreshedVersion="8" minRefreshableVersion="3" recordCount="0" supportSubquery="1" supportAdvancedDrill="1" xr:uid="{2595D467-2A5A-4A38-95B8-51DCF8819B55}">
  <cacheSource type="external" connectionId="6"/>
  <cacheFields count="3">
    <cacheField name="[Downtime_Factors].[Operator Error].[Operator Error]" caption="Operator Error" numFmtId="0" hierarchy="2" level="1">
      <sharedItems containsSemiMixedTypes="0" containsNonDate="0" containsString="0"/>
    </cacheField>
    <cacheField name="[Measures].[Total Downtime]" caption="Total Downtime" numFmtId="0" hierarchy="26" level="32767"/>
    <cacheField name="[Line_Productivity].[Year].[Year]" caption="Year" numFmtId="0" hierarchy="9" level="1">
      <sharedItems containsSemiMixedTypes="0" containsNonDate="0" containsString="0"/>
    </cacheField>
  </cacheFields>
  <cacheHierarchies count="51">
    <cacheHierarchy uniqueName="[Downtime_Factors].[Factor]" caption="Factor" attribute="1" defaultMemberUniqueName="[Downtime_Factors].[Factor].[All]" allUniqueName="[Downtime_Factors].[Factor].[All]" dimensionUniqueName="[Downtime_Factors]" displayFolder="" count="0" memberValueDatatype="20" unbalanced="0"/>
    <cacheHierarchy uniqueName="[Downtime_Factors].[Description]" caption="Description" attribute="1" defaultMemberUniqueName="[Downtime_Factors].[Description].[All]" allUniqueName="[Downtime_Factors].[Description].[All]" dimensionUniqueName="[Downtime_Factors]" displayFolder="" count="0" memberValueDatatype="130" unbalanced="0"/>
    <cacheHierarchy uniqueName="[Downtime_Factors].[Operator Error]" caption="Operator Error" attribute="1" defaultMemberUniqueName="[Downtime_Factors].[Operator Error].[All]" allUniqueName="[Downtime_Factors].[Operator Error].[All]" dimensionUniqueName="[Downtime_Factors]" displayFolder="" count="2" memberValueDatatype="130" unbalanced="0">
      <fieldsUsage count="2">
        <fieldUsage x="-1"/>
        <fieldUsage x="0"/>
      </fieldsUsage>
    </cacheHierarchy>
    <cacheHierarchy uniqueName="[Line_Downtime].[Batch]" caption="Batch" attribute="1" defaultMemberUniqueName="[Line_Downtime].[Batch].[All]" allUniqueName="[Line_Downtime].[Batch].[All]" dimensionUniqueName="[Line_Downtime]" displayFolder="" count="0" memberValueDatatype="130" unbalanced="0"/>
    <cacheHierarchy uniqueName="[Line_Downtime].[Factor]" caption="Factor" attribute="1" defaultMemberUniqueName="[Line_Downtime].[Factor].[All]" allUniqueName="[Line_Downtime].[Factor].[All]" dimensionUniqueName="[Line_Downtime]" displayFolder="" count="0" memberValueDatatype="130" unbalanced="0"/>
    <cacheHierarchy uniqueName="[Line_Downtime].[Downtime]" caption="Downtime" attribute="1" defaultMemberUniqueName="[Line_Downtime].[Downtime].[All]" allUniqueName="[Line_Downtime].[Downtime].[All]" dimensionUniqueName="[Line_Downtime]" displayFolder="" count="0" memberValueDatatype="5" unbalanced="0"/>
    <cacheHierarchy uniqueName="[Line_Productivity].[Date]" caption="Date" attribute="1" time="1" defaultMemberUniqueName="[Line_Productivity].[Date].[All]" allUniqueName="[Line_Productivity].[Date].[All]" dimensionUniqueName="[Line_Productivity]" displayFolder="" count="0" memberValueDatatype="7" unbalanced="0"/>
    <cacheHierarchy uniqueName="[Line_Productivity].[Month]" caption="Month" attribute="1" defaultMemberUniqueName="[Line_Productivity].[Month].[All]" allUniqueName="[Line_Productivity].[Month].[All]" dimensionUniqueName="[Line_Productivity]" displayFolder="" count="2" memberValueDatatype="130" unbalanced="0"/>
    <cacheHierarchy uniqueName="[Line_Productivity].[Day]" caption="Day" attribute="1" defaultMemberUniqueName="[Line_Productivity].[Day].[All]" allUniqueName="[Line_Productivity].[Day].[All]" dimensionUniqueName="[Line_Productivity]" displayFolder="" count="0" memberValueDatatype="130" unbalanced="0"/>
    <cacheHierarchy uniqueName="[Line_Productivity].[Year]" caption="Year" attribute="1" defaultMemberUniqueName="[Line_Productivity].[Year].[All]" allUniqueName="[Line_Productivity].[Year].[All]" dimensionUniqueName="[Line_Productivity]" displayFolder="" count="2" memberValueDatatype="130" unbalanced="0">
      <fieldsUsage count="2">
        <fieldUsage x="-1"/>
        <fieldUsage x="2"/>
      </fieldsUsage>
    </cacheHierarchy>
    <cacheHierarchy uniqueName="[Line_Productivity].[Product]" caption="Product" attribute="1" defaultMemberUniqueName="[Line_Productivity].[Product].[All]" allUniqueName="[Line_Productivity].[Product].[All]" dimensionUniqueName="[Line_Productivity]" displayFolder="" count="0" memberValueDatatype="130" unbalanced="0"/>
    <cacheHierarchy uniqueName="[Line_Productivity].[Batch]" caption="Batch" attribute="1" defaultMemberUniqueName="[Line_Productivity].[Batch].[All]" allUniqueName="[Line_Productivity].[Batch].[All]" dimensionUniqueName="[Line_Productivity]" displayFolder="" count="0" memberValueDatatype="130" unbalanced="0"/>
    <cacheHierarchy uniqueName="[Line_Productivity].[Operator]" caption="Operator" attribute="1" defaultMemberUniqueName="[Line_Productivity].[Operator].[All]" allUniqueName="[Line_Productivity].[Operator].[All]" dimensionUniqueName="[Line_Productivity]" displayFolder="" count="2" memberValueDatatype="130" unbalanced="0"/>
    <cacheHierarchy uniqueName="[Line_Productivity].[Start Time]" caption="Start Time" attribute="1" time="1" defaultMemberUniqueName="[Line_Productivity].[Start Time].[All]" allUniqueName="[Line_Productivity].[Start Time].[All]" dimensionUniqueName="[Line_Productivity]" displayFolder="" count="0" memberValueDatatype="7" unbalanced="0"/>
    <cacheHierarchy uniqueName="[Line_Productivity].[End Time]" caption="End Time" attribute="1" time="1" defaultMemberUniqueName="[Line_Productivity].[End Time].[All]" allUniqueName="[Line_Productivity].[End Time].[All]" dimensionUniqueName="[Line_Productivity]" displayFolder="" count="0" memberValueDatatype="7" unbalanced="0"/>
    <cacheHierarchy uniqueName="[Line_Productivity].[Worked Hours]" caption="Worked Hours" attribute="1" defaultMemberUniqueName="[Line_Productivity].[Worked Hours].[All]" allUniqueName="[Line_Productivity].[Worked Hours].[All]" dimensionUniqueName="[Line_Productivity]" displayFolder="" count="0" memberValueDatatype="5" unbalanced="0"/>
    <cacheHierarchy uniqueName="[Line_Productivity].[Min Batch Time]" caption="Min Batch Time" attribute="1" defaultMemberUniqueName="[Line_Productivity].[Min Batch Time].[All]" allUniqueName="[Line_Productivity].[Min Batch Time].[All]" dimensionUniqueName="[Line_Productivity]" displayFolder="" count="0" memberValueDatatype="5" unbalanced="0"/>
    <cacheHierarchy uniqueName="[Line_Productivity].[Date (Month)]" caption="Date (Month)" attribute="1" defaultMemberUniqueName="[Line_Productivity].[Date (Month)].[All]" allUniqueName="[Line_Productivity].[Date (Month)].[All]" dimensionUniqueName="[Line_Productivity]" displayFolder="" count="0" memberValueDatatype="130" unbalanced="0"/>
    <cacheHierarchy uniqueName="[Product].[Product]" caption="Product" attribute="1" defaultMemberUniqueName="[Product].[Product].[All]" allUniqueName="[Product].[Product].[All]" dimensionUniqueName="[Product]" displayFolder="" count="0" memberValueDatatype="130" unbalanced="0"/>
    <cacheHierarchy uniqueName="[Product].[Flavor]" caption="Flavor" attribute="1" defaultMemberUniqueName="[Product].[Flavor].[All]" allUniqueName="[Product].[Flavor].[All]" dimensionUniqueName="[Product]" displayFolder="" count="0" memberValueDatatype="130" unbalanced="0"/>
    <cacheHierarchy uniqueName="[Product].[Size]" caption="Size" attribute="1" defaultMemberUniqueName="[Product].[Size].[All]" allUniqueName="[Product].[Size].[All]" dimensionUniqueName="[Product]" displayFolder="" count="0" memberValueDatatype="130" unbalanced="0"/>
    <cacheHierarchy uniqueName="[Product].[Min batch time]" caption="Min batch time" attribute="1" defaultMemberUniqueName="[Product].[Min batch time].[All]" allUniqueName="[Product].[Min batch time].[All]" dimensionUniqueName="[Product]" displayFolder="" count="0" memberValueDatatype="5" unbalanced="0"/>
    <cacheHierarchy uniqueName="[Line_Productivity].[Date (Month Index)]" caption="Date (Month Index)" attribute="1" defaultMemberUniqueName="[Line_Productivity].[Date (Month Index)].[All]" allUniqueName="[Line_Productivity].[Date (Month Index)].[All]" dimensionUniqueName="[Line_Productivity]" displayFolder="" count="0" memberValueDatatype="20" unbalanced="0" hidden="1"/>
    <cacheHierarchy uniqueName="[Measures].[Total Worked Hours]" caption="Total Worked Hours" measure="1" displayFolder="" measureGroup="Line_Productivity" count="0"/>
    <cacheHierarchy uniqueName="[Measures].[Total Min Batch Time]" caption="Total Min Batch Time" measure="1" displayFolder="" measureGroup="Line_Productivity" count="0"/>
    <cacheHierarchy uniqueName="[Measures].[Line Eff %]" caption="Line Eff %" measure="1" displayFolder="" measureGroup="Line_Productivity" count="0"/>
    <cacheHierarchy uniqueName="[Measures].[Total Downtime]" caption="Total Downtime" measure="1" displayFolder="" measureGroup="Line_Productivity" count="0" oneField="1">
      <fieldsUsage count="1">
        <fieldUsage x="1"/>
      </fieldsUsage>
    </cacheHierarchy>
    <cacheHierarchy uniqueName="[Measures].[Line ineff %]" caption="Line ineff %" measure="1" displayFolder="" measureGroup="Line_Productivity" count="0"/>
    <cacheHierarchy uniqueName="[Measures].[DOWNTIME RATIO]" caption="DOWNTIME RATIO" measure="1" displayFolder="" measureGroup="Line_Productivity" count="0"/>
    <cacheHierarchy uniqueName="[Measures].[STANDARD TIME RATIO]" caption="STANDARD TIME RATIO" measure="1" displayFolder="" measureGroup="Line_Productivity" count="0"/>
    <cacheHierarchy uniqueName="[Measures].[Total Batch Count]" caption="Total Batch Count" measure="1" displayFolder="" measureGroup="Line_Productivity" count="0"/>
    <cacheHierarchy uniqueName="[Measures].[AVE BATCH DOWNTIME]" caption="AVE BATCH DOWNTIME" measure="1" displayFolder="" measureGroup="Line_Productivity" count="0"/>
    <cacheHierarchy uniqueName="[Measures].[RATIO]" caption="RATIO" measure="1" displayFolder="" measureGroup="Line_Productivity" count="0"/>
    <cacheHierarchy uniqueName="[Measures].[ STANDARD TIME RATIO]" caption=" STANDARD TIME RATIO" measure="1" displayFolder="" measureGroup="Line_Productivity" count="0"/>
    <cacheHierarchy uniqueName="[Measures].[__XL_Count Product]" caption="__XL_Count Product" measure="1" displayFolder="" measureGroup="Product" count="0" hidden="1"/>
    <cacheHierarchy uniqueName="[Measures].[__XL_Count Downtime_Factors]" caption="__XL_Count Downtime_Factors" measure="1" displayFolder="" measureGroup="Downtime_Factors" count="0" hidden="1"/>
    <cacheHierarchy uniqueName="[Measures].[__XL_Count Line_Downtime]" caption="__XL_Count Line_Downtime" measure="1" displayFolder="" measureGroup="Line_Downtime" count="0" hidden="1"/>
    <cacheHierarchy uniqueName="[Measures].[__XL_Count Line_Productivity]" caption="__XL_Count Line_Productivity" measure="1" displayFolder="" measureGroup="Line_Productivity" count="0" hidden="1"/>
    <cacheHierarchy uniqueName="[Measures].[__No measures defined]" caption="__No measures defined" measure="1" displayFolder="" count="0" hidden="1"/>
    <cacheHierarchy uniqueName="[Measures].[Sum of Min batch time]" caption="Sum of Min batch time" measure="1" displayFolder="" measureGroup="Product" count="0" hidden="1">
      <extLst>
        <ext xmlns:x15="http://schemas.microsoft.com/office/spreadsheetml/2010/11/main" uri="{B97F6D7D-B522-45F9-BDA1-12C45D357490}">
          <x15:cacheHierarchy aggregatedColumn="21"/>
        </ext>
      </extLst>
    </cacheHierarchy>
    <cacheHierarchy uniqueName="[Measures].[Sum of Min Batch Time 2]" caption="Sum of Min Batch Time 2" measure="1" displayFolder="" measureGroup="Line_Productivity" count="0" hidden="1">
      <extLst>
        <ext xmlns:x15="http://schemas.microsoft.com/office/spreadsheetml/2010/11/main" uri="{B97F6D7D-B522-45F9-BDA1-12C45D357490}">
          <x15:cacheHierarchy aggregatedColumn="16"/>
        </ext>
      </extLst>
    </cacheHierarchy>
    <cacheHierarchy uniqueName="[Measures].[Sum of Worked Hours]" caption="Sum of Worked Hours" measure="1" displayFolder="" measureGroup="Line_Productivity" count="0" hidden="1">
      <extLst>
        <ext xmlns:x15="http://schemas.microsoft.com/office/spreadsheetml/2010/11/main" uri="{B97F6D7D-B522-45F9-BDA1-12C45D357490}">
          <x15:cacheHierarchy aggregatedColumn="15"/>
        </ext>
      </extLst>
    </cacheHierarchy>
    <cacheHierarchy uniqueName="[Measures].[Sum of Downtime]" caption="Sum of Downtime" measure="1" displayFolder="" measureGroup="Line_Downtime" count="0" hidden="1">
      <extLst>
        <ext xmlns:x15="http://schemas.microsoft.com/office/spreadsheetml/2010/11/main" uri="{B97F6D7D-B522-45F9-BDA1-12C45D357490}">
          <x15:cacheHierarchy aggregatedColumn="5"/>
        </ext>
      </extLst>
    </cacheHierarchy>
    <cacheHierarchy uniqueName="[Measures].[Count of Description]" caption="Count of Description" measure="1" displayFolder="" measureGroup="Downtime_Factors" count="0" hidden="1">
      <extLst>
        <ext xmlns:x15="http://schemas.microsoft.com/office/spreadsheetml/2010/11/main" uri="{B97F6D7D-B522-45F9-BDA1-12C45D357490}">
          <x15:cacheHierarchy aggregatedColumn="1"/>
        </ext>
      </extLst>
    </cacheHierarchy>
    <cacheHierarchy uniqueName="[Measures].[Count of Operator Error]" caption="Count of Operator Error" measure="1" displayFolder="" measureGroup="Downtime_Factors" count="0" hidden="1">
      <extLst>
        <ext xmlns:x15="http://schemas.microsoft.com/office/spreadsheetml/2010/11/main" uri="{B97F6D7D-B522-45F9-BDA1-12C45D357490}">
          <x15:cacheHierarchy aggregatedColumn="2"/>
        </ext>
      </extLst>
    </cacheHierarchy>
    <cacheHierarchy uniqueName="[Measures].[Count of Factor]" caption="Count of Factor" measure="1" displayFolder="" measureGroup="Line_Downtime" count="0" hidden="1">
      <extLst>
        <ext xmlns:x15="http://schemas.microsoft.com/office/spreadsheetml/2010/11/main" uri="{B97F6D7D-B522-45F9-BDA1-12C45D357490}">
          <x15:cacheHierarchy aggregatedColumn="4"/>
        </ext>
      </extLst>
    </cacheHierarchy>
    <cacheHierarchy uniqueName="[Measures].[Count of Batch]" caption="Count of Batch" measure="1" displayFolder="" measureGroup="Line_Productivity" count="0" hidden="1">
      <extLst>
        <ext xmlns:x15="http://schemas.microsoft.com/office/spreadsheetml/2010/11/main" uri="{B97F6D7D-B522-45F9-BDA1-12C45D357490}">
          <x15:cacheHierarchy aggregatedColumn="11"/>
        </ext>
      </extLst>
    </cacheHierarchy>
    <cacheHierarchy uniqueName="[Measures].[Count of Batch 2]" caption="Count of Batch 2" measure="1" displayFolder="" measureGroup="Line_Downtime" count="0" hidden="1">
      <extLst>
        <ext xmlns:x15="http://schemas.microsoft.com/office/spreadsheetml/2010/11/main" uri="{B97F6D7D-B522-45F9-BDA1-12C45D357490}">
          <x15:cacheHierarchy aggregatedColumn="3"/>
        </ext>
      </extLst>
    </cacheHierarchy>
    <cacheHierarchy uniqueName="[Measures].[Count of Product]" caption="Count of Product" measure="1" displayFolder="" measureGroup="Line_Productivity" count="0" hidden="1">
      <extLst>
        <ext xmlns:x15="http://schemas.microsoft.com/office/spreadsheetml/2010/11/main" uri="{B97F6D7D-B522-45F9-BDA1-12C45D357490}">
          <x15:cacheHierarchy aggregatedColumn="10"/>
        </ext>
      </extLst>
    </cacheHierarchy>
    <cacheHierarchy uniqueName="[Measures].[Sum of Factor]" caption="Sum of Factor" measure="1" displayFolder="" measureGroup="Downtime_Factors" count="0" hidden="1">
      <extLst>
        <ext xmlns:x15="http://schemas.microsoft.com/office/spreadsheetml/2010/11/main" uri="{B97F6D7D-B522-45F9-BDA1-12C45D357490}">
          <x15:cacheHierarchy aggregatedColumn="0"/>
        </ext>
      </extLst>
    </cacheHierarchy>
    <cacheHierarchy uniqueName="[Measures].[Count of Downtime]" caption="Count of Downtime" measure="1" displayFolder="" measureGroup="Line_Downtime" count="0" hidden="1">
      <extLst>
        <ext xmlns:x15="http://schemas.microsoft.com/office/spreadsheetml/2010/11/main" uri="{B97F6D7D-B522-45F9-BDA1-12C45D357490}">
          <x15:cacheHierarchy aggregatedColumn="5"/>
        </ext>
      </extLst>
    </cacheHierarchy>
  </cacheHierarchies>
  <kpis count="0"/>
  <dimensions count="5">
    <dimension name="Downtime_Factors" uniqueName="[Downtime_Factors]" caption="Downtime_Factors"/>
    <dimension name="Line_Downtime" uniqueName="[Line_Downtime]" caption="Line_Downtime"/>
    <dimension name="Line_Productivity" uniqueName="[Line_Productivity]" caption="Line_Productivity"/>
    <dimension measure="1" name="Measures" uniqueName="[Measures]" caption="Measures"/>
    <dimension name="Product" uniqueName="[Product]" caption="Product"/>
  </dimensions>
  <measureGroups count="4">
    <measureGroup name="Downtime_Factors" caption="Downtime_Factors"/>
    <measureGroup name="Line_Downtime" caption="Line_Downtime"/>
    <measureGroup name="Line_Productivity" caption="Line_Productivity"/>
    <measureGroup name="Product" caption="Product"/>
  </measureGroups>
  <maps count="8">
    <map measureGroup="0" dimension="0"/>
    <map measureGroup="1" dimension="0"/>
    <map measureGroup="1" dimension="1"/>
    <map measureGroup="1" dimension="2"/>
    <map measureGroup="1" dimension="4"/>
    <map measureGroup="2" dimension="2"/>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995.330197337964" backgroundQuery="1" createdVersion="8" refreshedVersion="8" minRefreshableVersion="3" recordCount="0" supportSubquery="1" supportAdvancedDrill="1" xr:uid="{0BFF4C1B-355E-4DE5-B114-7486C88AD4C0}">
  <cacheSource type="external" connectionId="6"/>
  <cacheFields count="3">
    <cacheField name="[Downtime_Factors].[Operator Error].[Operator Error]" caption="Operator Error" numFmtId="0" hierarchy="2" level="1">
      <sharedItems count="2">
        <s v="No"/>
        <s v="Yes"/>
      </sharedItems>
    </cacheField>
    <cacheField name="[Measures].[AVE BATCH DOWNTIME]" caption="AVE BATCH DOWNTIME" numFmtId="0" hierarchy="31" level="32767"/>
    <cacheField name="[Line_Productivity].[Year].[Year]" caption="Year" numFmtId="0" hierarchy="9" level="1">
      <sharedItems containsSemiMixedTypes="0" containsNonDate="0" containsString="0"/>
    </cacheField>
  </cacheFields>
  <cacheHierarchies count="51">
    <cacheHierarchy uniqueName="[Downtime_Factors].[Factor]" caption="Factor" attribute="1" defaultMemberUniqueName="[Downtime_Factors].[Factor].[All]" allUniqueName="[Downtime_Factors].[Factor].[All]" dimensionUniqueName="[Downtime_Factors]" displayFolder="" count="0" memberValueDatatype="20" unbalanced="0"/>
    <cacheHierarchy uniqueName="[Downtime_Factors].[Description]" caption="Description" attribute="1" defaultMemberUniqueName="[Downtime_Factors].[Description].[All]" allUniqueName="[Downtime_Factors].[Description].[All]" dimensionUniqueName="[Downtime_Factors]" displayFolder="" count="0" memberValueDatatype="130" unbalanced="0"/>
    <cacheHierarchy uniqueName="[Downtime_Factors].[Operator Error]" caption="Operator Error" attribute="1" defaultMemberUniqueName="[Downtime_Factors].[Operator Error].[All]" allUniqueName="[Downtime_Factors].[Operator Error].[All]" dimensionUniqueName="[Downtime_Factors]" displayFolder="" count="2" memberValueDatatype="130" unbalanced="0">
      <fieldsUsage count="2">
        <fieldUsage x="-1"/>
        <fieldUsage x="0"/>
      </fieldsUsage>
    </cacheHierarchy>
    <cacheHierarchy uniqueName="[Line_Downtime].[Batch]" caption="Batch" attribute="1" defaultMemberUniqueName="[Line_Downtime].[Batch].[All]" allUniqueName="[Line_Downtime].[Batch].[All]" dimensionUniqueName="[Line_Downtime]" displayFolder="" count="0" memberValueDatatype="130" unbalanced="0"/>
    <cacheHierarchy uniqueName="[Line_Downtime].[Factor]" caption="Factor" attribute="1" defaultMemberUniqueName="[Line_Downtime].[Factor].[All]" allUniqueName="[Line_Downtime].[Factor].[All]" dimensionUniqueName="[Line_Downtime]" displayFolder="" count="0" memberValueDatatype="130" unbalanced="0"/>
    <cacheHierarchy uniqueName="[Line_Downtime].[Downtime]" caption="Downtime" attribute="1" defaultMemberUniqueName="[Line_Downtime].[Downtime].[All]" allUniqueName="[Line_Downtime].[Downtime].[All]" dimensionUniqueName="[Line_Downtime]" displayFolder="" count="0" memberValueDatatype="5" unbalanced="0"/>
    <cacheHierarchy uniqueName="[Line_Productivity].[Date]" caption="Date" attribute="1" time="1" defaultMemberUniqueName="[Line_Productivity].[Date].[All]" allUniqueName="[Line_Productivity].[Date].[All]" dimensionUniqueName="[Line_Productivity]" displayFolder="" count="0" memberValueDatatype="7" unbalanced="0"/>
    <cacheHierarchy uniqueName="[Line_Productivity].[Month]" caption="Month" attribute="1" defaultMemberUniqueName="[Line_Productivity].[Month].[All]" allUniqueName="[Line_Productivity].[Month].[All]" dimensionUniqueName="[Line_Productivity]" displayFolder="" count="2" memberValueDatatype="130" unbalanced="0"/>
    <cacheHierarchy uniqueName="[Line_Productivity].[Day]" caption="Day" attribute="1" defaultMemberUniqueName="[Line_Productivity].[Day].[All]" allUniqueName="[Line_Productivity].[Day].[All]" dimensionUniqueName="[Line_Productivity]" displayFolder="" count="0" memberValueDatatype="130" unbalanced="0"/>
    <cacheHierarchy uniqueName="[Line_Productivity].[Year]" caption="Year" attribute="1" defaultMemberUniqueName="[Line_Productivity].[Year].[All]" allUniqueName="[Line_Productivity].[Year].[All]" dimensionUniqueName="[Line_Productivity]" displayFolder="" count="2" memberValueDatatype="130" unbalanced="0">
      <fieldsUsage count="2">
        <fieldUsage x="-1"/>
        <fieldUsage x="2"/>
      </fieldsUsage>
    </cacheHierarchy>
    <cacheHierarchy uniqueName="[Line_Productivity].[Product]" caption="Product" attribute="1" defaultMemberUniqueName="[Line_Productivity].[Product].[All]" allUniqueName="[Line_Productivity].[Product].[All]" dimensionUniqueName="[Line_Productivity]" displayFolder="" count="0" memberValueDatatype="130" unbalanced="0"/>
    <cacheHierarchy uniqueName="[Line_Productivity].[Batch]" caption="Batch" attribute="1" defaultMemberUniqueName="[Line_Productivity].[Batch].[All]" allUniqueName="[Line_Productivity].[Batch].[All]" dimensionUniqueName="[Line_Productivity]" displayFolder="" count="0" memberValueDatatype="130" unbalanced="0"/>
    <cacheHierarchy uniqueName="[Line_Productivity].[Operator]" caption="Operator" attribute="1" defaultMemberUniqueName="[Line_Productivity].[Operator].[All]" allUniqueName="[Line_Productivity].[Operator].[All]" dimensionUniqueName="[Line_Productivity]" displayFolder="" count="2" memberValueDatatype="130" unbalanced="0"/>
    <cacheHierarchy uniqueName="[Line_Productivity].[Start Time]" caption="Start Time" attribute="1" time="1" defaultMemberUniqueName="[Line_Productivity].[Start Time].[All]" allUniqueName="[Line_Productivity].[Start Time].[All]" dimensionUniqueName="[Line_Productivity]" displayFolder="" count="0" memberValueDatatype="7" unbalanced="0"/>
    <cacheHierarchy uniqueName="[Line_Productivity].[End Time]" caption="End Time" attribute="1" time="1" defaultMemberUniqueName="[Line_Productivity].[End Time].[All]" allUniqueName="[Line_Productivity].[End Time].[All]" dimensionUniqueName="[Line_Productivity]" displayFolder="" count="0" memberValueDatatype="7" unbalanced="0"/>
    <cacheHierarchy uniqueName="[Line_Productivity].[Worked Hours]" caption="Worked Hours" attribute="1" defaultMemberUniqueName="[Line_Productivity].[Worked Hours].[All]" allUniqueName="[Line_Productivity].[Worked Hours].[All]" dimensionUniqueName="[Line_Productivity]" displayFolder="" count="0" memberValueDatatype="5" unbalanced="0"/>
    <cacheHierarchy uniqueName="[Line_Productivity].[Min Batch Time]" caption="Min Batch Time" attribute="1" defaultMemberUniqueName="[Line_Productivity].[Min Batch Time].[All]" allUniqueName="[Line_Productivity].[Min Batch Time].[All]" dimensionUniqueName="[Line_Productivity]" displayFolder="" count="0" memberValueDatatype="5" unbalanced="0"/>
    <cacheHierarchy uniqueName="[Line_Productivity].[Date (Month)]" caption="Date (Month)" attribute="1" defaultMemberUniqueName="[Line_Productivity].[Date (Month)].[All]" allUniqueName="[Line_Productivity].[Date (Month)].[All]" dimensionUniqueName="[Line_Productivity]" displayFolder="" count="0" memberValueDatatype="130" unbalanced="0"/>
    <cacheHierarchy uniqueName="[Product].[Product]" caption="Product" attribute="1" defaultMemberUniqueName="[Product].[Product].[All]" allUniqueName="[Product].[Product].[All]" dimensionUniqueName="[Product]" displayFolder="" count="0" memberValueDatatype="130" unbalanced="0"/>
    <cacheHierarchy uniqueName="[Product].[Flavor]" caption="Flavor" attribute="1" defaultMemberUniqueName="[Product].[Flavor].[All]" allUniqueName="[Product].[Flavor].[All]" dimensionUniqueName="[Product]" displayFolder="" count="0" memberValueDatatype="130" unbalanced="0"/>
    <cacheHierarchy uniqueName="[Product].[Size]" caption="Size" attribute="1" defaultMemberUniqueName="[Product].[Size].[All]" allUniqueName="[Product].[Size].[All]" dimensionUniqueName="[Product]" displayFolder="" count="0" memberValueDatatype="130" unbalanced="0"/>
    <cacheHierarchy uniqueName="[Product].[Min batch time]" caption="Min batch time" attribute="1" defaultMemberUniqueName="[Product].[Min batch time].[All]" allUniqueName="[Product].[Min batch time].[All]" dimensionUniqueName="[Product]" displayFolder="" count="0" memberValueDatatype="5" unbalanced="0"/>
    <cacheHierarchy uniqueName="[Line_Productivity].[Date (Month Index)]" caption="Date (Month Index)" attribute="1" defaultMemberUniqueName="[Line_Productivity].[Date (Month Index)].[All]" allUniqueName="[Line_Productivity].[Date (Month Index)].[All]" dimensionUniqueName="[Line_Productivity]" displayFolder="" count="0" memberValueDatatype="20" unbalanced="0" hidden="1"/>
    <cacheHierarchy uniqueName="[Measures].[Total Worked Hours]" caption="Total Worked Hours" measure="1" displayFolder="" measureGroup="Line_Productivity" count="0"/>
    <cacheHierarchy uniqueName="[Measures].[Total Min Batch Time]" caption="Total Min Batch Time" measure="1" displayFolder="" measureGroup="Line_Productivity" count="0"/>
    <cacheHierarchy uniqueName="[Measures].[Line Eff %]" caption="Line Eff %" measure="1" displayFolder="" measureGroup="Line_Productivity" count="0"/>
    <cacheHierarchy uniqueName="[Measures].[Total Downtime]" caption="Total Downtime" measure="1" displayFolder="" measureGroup="Line_Productivity" count="0"/>
    <cacheHierarchy uniqueName="[Measures].[Line ineff %]" caption="Line ineff %" measure="1" displayFolder="" measureGroup="Line_Productivity" count="0"/>
    <cacheHierarchy uniqueName="[Measures].[DOWNTIME RATIO]" caption="DOWNTIME RATIO" measure="1" displayFolder="" measureGroup="Line_Productivity" count="0"/>
    <cacheHierarchy uniqueName="[Measures].[STANDARD TIME RATIO]" caption="STANDARD TIME RATIO" measure="1" displayFolder="" measureGroup="Line_Productivity" count="0"/>
    <cacheHierarchy uniqueName="[Measures].[Total Batch Count]" caption="Total Batch Count" measure="1" displayFolder="" measureGroup="Line_Productivity" count="0"/>
    <cacheHierarchy uniqueName="[Measures].[AVE BATCH DOWNTIME]" caption="AVE BATCH DOWNTIME" measure="1" displayFolder="" measureGroup="Line_Productivity" count="0" oneField="1">
      <fieldsUsage count="1">
        <fieldUsage x="1"/>
      </fieldsUsage>
    </cacheHierarchy>
    <cacheHierarchy uniqueName="[Measures].[RATIO]" caption="RATIO" measure="1" displayFolder="" measureGroup="Line_Productivity" count="0"/>
    <cacheHierarchy uniqueName="[Measures].[ STANDARD TIME RATIO]" caption=" STANDARD TIME RATIO" measure="1" displayFolder="" measureGroup="Line_Productivity" count="0"/>
    <cacheHierarchy uniqueName="[Measures].[__XL_Count Product]" caption="__XL_Count Product" measure="1" displayFolder="" measureGroup="Product" count="0" hidden="1"/>
    <cacheHierarchy uniqueName="[Measures].[__XL_Count Downtime_Factors]" caption="__XL_Count Downtime_Factors" measure="1" displayFolder="" measureGroup="Downtime_Factors" count="0" hidden="1"/>
    <cacheHierarchy uniqueName="[Measures].[__XL_Count Line_Downtime]" caption="__XL_Count Line_Downtime" measure="1" displayFolder="" measureGroup="Line_Downtime" count="0" hidden="1"/>
    <cacheHierarchy uniqueName="[Measures].[__XL_Count Line_Productivity]" caption="__XL_Count Line_Productivity" measure="1" displayFolder="" measureGroup="Line_Productivity" count="0" hidden="1"/>
    <cacheHierarchy uniqueName="[Measures].[__No measures defined]" caption="__No measures defined" measure="1" displayFolder="" count="0" hidden="1"/>
    <cacheHierarchy uniqueName="[Measures].[Sum of Min batch time]" caption="Sum of Min batch time" measure="1" displayFolder="" measureGroup="Product" count="0" hidden="1">
      <extLst>
        <ext xmlns:x15="http://schemas.microsoft.com/office/spreadsheetml/2010/11/main" uri="{B97F6D7D-B522-45F9-BDA1-12C45D357490}">
          <x15:cacheHierarchy aggregatedColumn="21"/>
        </ext>
      </extLst>
    </cacheHierarchy>
    <cacheHierarchy uniqueName="[Measures].[Sum of Min Batch Time 2]" caption="Sum of Min Batch Time 2" measure="1" displayFolder="" measureGroup="Line_Productivity" count="0" hidden="1">
      <extLst>
        <ext xmlns:x15="http://schemas.microsoft.com/office/spreadsheetml/2010/11/main" uri="{B97F6D7D-B522-45F9-BDA1-12C45D357490}">
          <x15:cacheHierarchy aggregatedColumn="16"/>
        </ext>
      </extLst>
    </cacheHierarchy>
    <cacheHierarchy uniqueName="[Measures].[Sum of Worked Hours]" caption="Sum of Worked Hours" measure="1" displayFolder="" measureGroup="Line_Productivity" count="0" hidden="1">
      <extLst>
        <ext xmlns:x15="http://schemas.microsoft.com/office/spreadsheetml/2010/11/main" uri="{B97F6D7D-B522-45F9-BDA1-12C45D357490}">
          <x15:cacheHierarchy aggregatedColumn="15"/>
        </ext>
      </extLst>
    </cacheHierarchy>
    <cacheHierarchy uniqueName="[Measures].[Sum of Downtime]" caption="Sum of Downtime" measure="1" displayFolder="" measureGroup="Line_Downtime" count="0" hidden="1">
      <extLst>
        <ext xmlns:x15="http://schemas.microsoft.com/office/spreadsheetml/2010/11/main" uri="{B97F6D7D-B522-45F9-BDA1-12C45D357490}">
          <x15:cacheHierarchy aggregatedColumn="5"/>
        </ext>
      </extLst>
    </cacheHierarchy>
    <cacheHierarchy uniqueName="[Measures].[Count of Description]" caption="Count of Description" measure="1" displayFolder="" measureGroup="Downtime_Factors" count="0" hidden="1">
      <extLst>
        <ext xmlns:x15="http://schemas.microsoft.com/office/spreadsheetml/2010/11/main" uri="{B97F6D7D-B522-45F9-BDA1-12C45D357490}">
          <x15:cacheHierarchy aggregatedColumn="1"/>
        </ext>
      </extLst>
    </cacheHierarchy>
    <cacheHierarchy uniqueName="[Measures].[Count of Operator Error]" caption="Count of Operator Error" measure="1" displayFolder="" measureGroup="Downtime_Factors" count="0" hidden="1">
      <extLst>
        <ext xmlns:x15="http://schemas.microsoft.com/office/spreadsheetml/2010/11/main" uri="{B97F6D7D-B522-45F9-BDA1-12C45D357490}">
          <x15:cacheHierarchy aggregatedColumn="2"/>
        </ext>
      </extLst>
    </cacheHierarchy>
    <cacheHierarchy uniqueName="[Measures].[Count of Factor]" caption="Count of Factor" measure="1" displayFolder="" measureGroup="Line_Downtime" count="0" hidden="1">
      <extLst>
        <ext xmlns:x15="http://schemas.microsoft.com/office/spreadsheetml/2010/11/main" uri="{B97F6D7D-B522-45F9-BDA1-12C45D357490}">
          <x15:cacheHierarchy aggregatedColumn="4"/>
        </ext>
      </extLst>
    </cacheHierarchy>
    <cacheHierarchy uniqueName="[Measures].[Count of Batch]" caption="Count of Batch" measure="1" displayFolder="" measureGroup="Line_Productivity" count="0" hidden="1">
      <extLst>
        <ext xmlns:x15="http://schemas.microsoft.com/office/spreadsheetml/2010/11/main" uri="{B97F6D7D-B522-45F9-BDA1-12C45D357490}">
          <x15:cacheHierarchy aggregatedColumn="11"/>
        </ext>
      </extLst>
    </cacheHierarchy>
    <cacheHierarchy uniqueName="[Measures].[Count of Batch 2]" caption="Count of Batch 2" measure="1" displayFolder="" measureGroup="Line_Downtime" count="0" hidden="1">
      <extLst>
        <ext xmlns:x15="http://schemas.microsoft.com/office/spreadsheetml/2010/11/main" uri="{B97F6D7D-B522-45F9-BDA1-12C45D357490}">
          <x15:cacheHierarchy aggregatedColumn="3"/>
        </ext>
      </extLst>
    </cacheHierarchy>
    <cacheHierarchy uniqueName="[Measures].[Count of Product]" caption="Count of Product" measure="1" displayFolder="" measureGroup="Line_Productivity" count="0" hidden="1">
      <extLst>
        <ext xmlns:x15="http://schemas.microsoft.com/office/spreadsheetml/2010/11/main" uri="{B97F6D7D-B522-45F9-BDA1-12C45D357490}">
          <x15:cacheHierarchy aggregatedColumn="10"/>
        </ext>
      </extLst>
    </cacheHierarchy>
    <cacheHierarchy uniqueName="[Measures].[Sum of Factor]" caption="Sum of Factor" measure="1" displayFolder="" measureGroup="Downtime_Factors" count="0" hidden="1">
      <extLst>
        <ext xmlns:x15="http://schemas.microsoft.com/office/spreadsheetml/2010/11/main" uri="{B97F6D7D-B522-45F9-BDA1-12C45D357490}">
          <x15:cacheHierarchy aggregatedColumn="0"/>
        </ext>
      </extLst>
    </cacheHierarchy>
    <cacheHierarchy uniqueName="[Measures].[Count of Downtime]" caption="Count of Downtime" measure="1" displayFolder="" measureGroup="Line_Downtime" count="0" hidden="1">
      <extLst>
        <ext xmlns:x15="http://schemas.microsoft.com/office/spreadsheetml/2010/11/main" uri="{B97F6D7D-B522-45F9-BDA1-12C45D357490}">
          <x15:cacheHierarchy aggregatedColumn="5"/>
        </ext>
      </extLst>
    </cacheHierarchy>
  </cacheHierarchies>
  <kpis count="0"/>
  <dimensions count="5">
    <dimension name="Downtime_Factors" uniqueName="[Downtime_Factors]" caption="Downtime_Factors"/>
    <dimension name="Line_Downtime" uniqueName="[Line_Downtime]" caption="Line_Downtime"/>
    <dimension name="Line_Productivity" uniqueName="[Line_Productivity]" caption="Line_Productivity"/>
    <dimension measure="1" name="Measures" uniqueName="[Measures]" caption="Measures"/>
    <dimension name="Product" uniqueName="[Product]" caption="Product"/>
  </dimensions>
  <measureGroups count="4">
    <measureGroup name="Downtime_Factors" caption="Downtime_Factors"/>
    <measureGroup name="Line_Downtime" caption="Line_Downtime"/>
    <measureGroup name="Line_Productivity" caption="Line_Productivity"/>
    <measureGroup name="Product" caption="Product"/>
  </measureGroups>
  <maps count="8">
    <map measureGroup="0" dimension="0"/>
    <map measureGroup="1" dimension="0"/>
    <map measureGroup="1" dimension="1"/>
    <map measureGroup="1" dimension="2"/>
    <map measureGroup="1" dimension="4"/>
    <map measureGroup="2" dimension="2"/>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995.330197337964" backgroundQuery="1" createdVersion="8" refreshedVersion="8" minRefreshableVersion="3" recordCount="0" supportSubquery="1" supportAdvancedDrill="1" xr:uid="{8BEB9EE7-4F5A-4DC9-B697-8D67EA12DD2D}">
  <cacheSource type="external" connectionId="6"/>
  <cacheFields count="2">
    <cacheField name="[Measures].[Total Min Batch Time]" caption="Total Min Batch Time" numFmtId="0" hierarchy="24" level="32767"/>
    <cacheField name="[Line_Productivity].[Year].[Year]" caption="Year" numFmtId="0" hierarchy="9" level="1">
      <sharedItems containsSemiMixedTypes="0" containsNonDate="0" containsString="0"/>
    </cacheField>
  </cacheFields>
  <cacheHierarchies count="51">
    <cacheHierarchy uniqueName="[Downtime_Factors].[Factor]" caption="Factor" attribute="1" defaultMemberUniqueName="[Downtime_Factors].[Factor].[All]" allUniqueName="[Downtime_Factors].[Factor].[All]" dimensionUniqueName="[Downtime_Factors]" displayFolder="" count="0" memberValueDatatype="20" unbalanced="0"/>
    <cacheHierarchy uniqueName="[Downtime_Factors].[Description]" caption="Description" attribute="1" defaultMemberUniqueName="[Downtime_Factors].[Description].[All]" allUniqueName="[Downtime_Factors].[Description].[All]" dimensionUniqueName="[Downtime_Factors]" displayFolder="" count="0" memberValueDatatype="130" unbalanced="0"/>
    <cacheHierarchy uniqueName="[Downtime_Factors].[Operator Error]" caption="Operator Error" attribute="1" defaultMemberUniqueName="[Downtime_Factors].[Operator Error].[All]" allUniqueName="[Downtime_Factors].[Operator Error].[All]" dimensionUniqueName="[Downtime_Factors]" displayFolder="" count="2" memberValueDatatype="130" unbalanced="0"/>
    <cacheHierarchy uniqueName="[Line_Downtime].[Batch]" caption="Batch" attribute="1" defaultMemberUniqueName="[Line_Downtime].[Batch].[All]" allUniqueName="[Line_Downtime].[Batch].[All]" dimensionUniqueName="[Line_Downtime]" displayFolder="" count="0" memberValueDatatype="130" unbalanced="0"/>
    <cacheHierarchy uniqueName="[Line_Downtime].[Factor]" caption="Factor" attribute="1" defaultMemberUniqueName="[Line_Downtime].[Factor].[All]" allUniqueName="[Line_Downtime].[Factor].[All]" dimensionUniqueName="[Line_Downtime]" displayFolder="" count="0" memberValueDatatype="130" unbalanced="0"/>
    <cacheHierarchy uniqueName="[Line_Downtime].[Downtime]" caption="Downtime" attribute="1" defaultMemberUniqueName="[Line_Downtime].[Downtime].[All]" allUniqueName="[Line_Downtime].[Downtime].[All]" dimensionUniqueName="[Line_Downtime]" displayFolder="" count="0" memberValueDatatype="5" unbalanced="0"/>
    <cacheHierarchy uniqueName="[Line_Productivity].[Date]" caption="Date" attribute="1" time="1" defaultMemberUniqueName="[Line_Productivity].[Date].[All]" allUniqueName="[Line_Productivity].[Date].[All]" dimensionUniqueName="[Line_Productivity]" displayFolder="" count="0" memberValueDatatype="7" unbalanced="0"/>
    <cacheHierarchy uniqueName="[Line_Productivity].[Month]" caption="Month" attribute="1" defaultMemberUniqueName="[Line_Productivity].[Month].[All]" allUniqueName="[Line_Productivity].[Month].[All]" dimensionUniqueName="[Line_Productivity]" displayFolder="" count="2" memberValueDatatype="130" unbalanced="0"/>
    <cacheHierarchy uniqueName="[Line_Productivity].[Day]" caption="Day" attribute="1" defaultMemberUniqueName="[Line_Productivity].[Day].[All]" allUniqueName="[Line_Productivity].[Day].[All]" dimensionUniqueName="[Line_Productivity]" displayFolder="" count="0" memberValueDatatype="130" unbalanced="0"/>
    <cacheHierarchy uniqueName="[Line_Productivity].[Year]" caption="Year" attribute="1" defaultMemberUniqueName="[Line_Productivity].[Year].[All]" allUniqueName="[Line_Productivity].[Year].[All]" dimensionUniqueName="[Line_Productivity]" displayFolder="" count="2" memberValueDatatype="130" unbalanced="0">
      <fieldsUsage count="2">
        <fieldUsage x="-1"/>
        <fieldUsage x="1"/>
      </fieldsUsage>
    </cacheHierarchy>
    <cacheHierarchy uniqueName="[Line_Productivity].[Product]" caption="Product" attribute="1" defaultMemberUniqueName="[Line_Productivity].[Product].[All]" allUniqueName="[Line_Productivity].[Product].[All]" dimensionUniqueName="[Line_Productivity]" displayFolder="" count="0" memberValueDatatype="130" unbalanced="0"/>
    <cacheHierarchy uniqueName="[Line_Productivity].[Batch]" caption="Batch" attribute="1" defaultMemberUniqueName="[Line_Productivity].[Batch].[All]" allUniqueName="[Line_Productivity].[Batch].[All]" dimensionUniqueName="[Line_Productivity]" displayFolder="" count="0" memberValueDatatype="130" unbalanced="0"/>
    <cacheHierarchy uniqueName="[Line_Productivity].[Operator]" caption="Operator" attribute="1" defaultMemberUniqueName="[Line_Productivity].[Operator].[All]" allUniqueName="[Line_Productivity].[Operator].[All]" dimensionUniqueName="[Line_Productivity]" displayFolder="" count="2" memberValueDatatype="130" unbalanced="0"/>
    <cacheHierarchy uniqueName="[Line_Productivity].[Start Time]" caption="Start Time" attribute="1" time="1" defaultMemberUniqueName="[Line_Productivity].[Start Time].[All]" allUniqueName="[Line_Productivity].[Start Time].[All]" dimensionUniqueName="[Line_Productivity]" displayFolder="" count="0" memberValueDatatype="7" unbalanced="0"/>
    <cacheHierarchy uniqueName="[Line_Productivity].[End Time]" caption="End Time" attribute="1" time="1" defaultMemberUniqueName="[Line_Productivity].[End Time].[All]" allUniqueName="[Line_Productivity].[End Time].[All]" dimensionUniqueName="[Line_Productivity]" displayFolder="" count="0" memberValueDatatype="7" unbalanced="0"/>
    <cacheHierarchy uniqueName="[Line_Productivity].[Worked Hours]" caption="Worked Hours" attribute="1" defaultMemberUniqueName="[Line_Productivity].[Worked Hours].[All]" allUniqueName="[Line_Productivity].[Worked Hours].[All]" dimensionUniqueName="[Line_Productivity]" displayFolder="" count="0" memberValueDatatype="5" unbalanced="0"/>
    <cacheHierarchy uniqueName="[Line_Productivity].[Min Batch Time]" caption="Min Batch Time" attribute="1" defaultMemberUniqueName="[Line_Productivity].[Min Batch Time].[All]" allUniqueName="[Line_Productivity].[Min Batch Time].[All]" dimensionUniqueName="[Line_Productivity]" displayFolder="" count="0" memberValueDatatype="5" unbalanced="0"/>
    <cacheHierarchy uniqueName="[Line_Productivity].[Date (Month)]" caption="Date (Month)" attribute="1" defaultMemberUniqueName="[Line_Productivity].[Date (Month)].[All]" allUniqueName="[Line_Productivity].[Date (Month)].[All]" dimensionUniqueName="[Line_Productivity]" displayFolder="" count="0" memberValueDatatype="130" unbalanced="0"/>
    <cacheHierarchy uniqueName="[Product].[Product]" caption="Product" attribute="1" defaultMemberUniqueName="[Product].[Product].[All]" allUniqueName="[Product].[Product].[All]" dimensionUniqueName="[Product]" displayFolder="" count="0" memberValueDatatype="130" unbalanced="0"/>
    <cacheHierarchy uniqueName="[Product].[Flavor]" caption="Flavor" attribute="1" defaultMemberUniqueName="[Product].[Flavor].[All]" allUniqueName="[Product].[Flavor].[All]" dimensionUniqueName="[Product]" displayFolder="" count="0" memberValueDatatype="130" unbalanced="0"/>
    <cacheHierarchy uniqueName="[Product].[Size]" caption="Size" attribute="1" defaultMemberUniqueName="[Product].[Size].[All]" allUniqueName="[Product].[Size].[All]" dimensionUniqueName="[Product]" displayFolder="" count="0" memberValueDatatype="130" unbalanced="0"/>
    <cacheHierarchy uniqueName="[Product].[Min batch time]" caption="Min batch time" attribute="1" defaultMemberUniqueName="[Product].[Min batch time].[All]" allUniqueName="[Product].[Min batch time].[All]" dimensionUniqueName="[Product]" displayFolder="" count="0" memberValueDatatype="5" unbalanced="0"/>
    <cacheHierarchy uniqueName="[Line_Productivity].[Date (Month Index)]" caption="Date (Month Index)" attribute="1" defaultMemberUniqueName="[Line_Productivity].[Date (Month Index)].[All]" allUniqueName="[Line_Productivity].[Date (Month Index)].[All]" dimensionUniqueName="[Line_Productivity]" displayFolder="" count="0" memberValueDatatype="20" unbalanced="0" hidden="1"/>
    <cacheHierarchy uniqueName="[Measures].[Total Worked Hours]" caption="Total Worked Hours" measure="1" displayFolder="" measureGroup="Line_Productivity" count="0"/>
    <cacheHierarchy uniqueName="[Measures].[Total Min Batch Time]" caption="Total Min Batch Time" measure="1" displayFolder="" measureGroup="Line_Productivity" count="0" oneField="1">
      <fieldsUsage count="1">
        <fieldUsage x="0"/>
      </fieldsUsage>
    </cacheHierarchy>
    <cacheHierarchy uniqueName="[Measures].[Line Eff %]" caption="Line Eff %" measure="1" displayFolder="" measureGroup="Line_Productivity" count="0"/>
    <cacheHierarchy uniqueName="[Measures].[Total Downtime]" caption="Total Downtime" measure="1" displayFolder="" measureGroup="Line_Productivity" count="0"/>
    <cacheHierarchy uniqueName="[Measures].[Line ineff %]" caption="Line ineff %" measure="1" displayFolder="" measureGroup="Line_Productivity" count="0"/>
    <cacheHierarchy uniqueName="[Measures].[DOWNTIME RATIO]" caption="DOWNTIME RATIO" measure="1" displayFolder="" measureGroup="Line_Productivity" count="0"/>
    <cacheHierarchy uniqueName="[Measures].[STANDARD TIME RATIO]" caption="STANDARD TIME RATIO" measure="1" displayFolder="" measureGroup="Line_Productivity" count="0"/>
    <cacheHierarchy uniqueName="[Measures].[Total Batch Count]" caption="Total Batch Count" measure="1" displayFolder="" measureGroup="Line_Productivity" count="0"/>
    <cacheHierarchy uniqueName="[Measures].[AVE BATCH DOWNTIME]" caption="AVE BATCH DOWNTIME" measure="1" displayFolder="" measureGroup="Line_Productivity" count="0"/>
    <cacheHierarchy uniqueName="[Measures].[RATIO]" caption="RATIO" measure="1" displayFolder="" measureGroup="Line_Productivity" count="0"/>
    <cacheHierarchy uniqueName="[Measures].[ STANDARD TIME RATIO]" caption=" STANDARD TIME RATIO" measure="1" displayFolder="" measureGroup="Line_Productivity" count="0"/>
    <cacheHierarchy uniqueName="[Measures].[__XL_Count Product]" caption="__XL_Count Product" measure="1" displayFolder="" measureGroup="Product" count="0" hidden="1"/>
    <cacheHierarchy uniqueName="[Measures].[__XL_Count Downtime_Factors]" caption="__XL_Count Downtime_Factors" measure="1" displayFolder="" measureGroup="Downtime_Factors" count="0" hidden="1"/>
    <cacheHierarchy uniqueName="[Measures].[__XL_Count Line_Downtime]" caption="__XL_Count Line_Downtime" measure="1" displayFolder="" measureGroup="Line_Downtime" count="0" hidden="1"/>
    <cacheHierarchy uniqueName="[Measures].[__XL_Count Line_Productivity]" caption="__XL_Count Line_Productivity" measure="1" displayFolder="" measureGroup="Line_Productivity" count="0" hidden="1"/>
    <cacheHierarchy uniqueName="[Measures].[__No measures defined]" caption="__No measures defined" measure="1" displayFolder="" count="0" hidden="1"/>
    <cacheHierarchy uniqueName="[Measures].[Sum of Min batch time]" caption="Sum of Min batch time" measure="1" displayFolder="" measureGroup="Product" count="0" hidden="1">
      <extLst>
        <ext xmlns:x15="http://schemas.microsoft.com/office/spreadsheetml/2010/11/main" uri="{B97F6D7D-B522-45F9-BDA1-12C45D357490}">
          <x15:cacheHierarchy aggregatedColumn="21"/>
        </ext>
      </extLst>
    </cacheHierarchy>
    <cacheHierarchy uniqueName="[Measures].[Sum of Min Batch Time 2]" caption="Sum of Min Batch Time 2" measure="1" displayFolder="" measureGroup="Line_Productivity" count="0" hidden="1">
      <extLst>
        <ext xmlns:x15="http://schemas.microsoft.com/office/spreadsheetml/2010/11/main" uri="{B97F6D7D-B522-45F9-BDA1-12C45D357490}">
          <x15:cacheHierarchy aggregatedColumn="16"/>
        </ext>
      </extLst>
    </cacheHierarchy>
    <cacheHierarchy uniqueName="[Measures].[Sum of Worked Hours]" caption="Sum of Worked Hours" measure="1" displayFolder="" measureGroup="Line_Productivity" count="0" hidden="1">
      <extLst>
        <ext xmlns:x15="http://schemas.microsoft.com/office/spreadsheetml/2010/11/main" uri="{B97F6D7D-B522-45F9-BDA1-12C45D357490}">
          <x15:cacheHierarchy aggregatedColumn="15"/>
        </ext>
      </extLst>
    </cacheHierarchy>
    <cacheHierarchy uniqueName="[Measures].[Sum of Downtime]" caption="Sum of Downtime" measure="1" displayFolder="" measureGroup="Line_Downtime" count="0" hidden="1">
      <extLst>
        <ext xmlns:x15="http://schemas.microsoft.com/office/spreadsheetml/2010/11/main" uri="{B97F6D7D-B522-45F9-BDA1-12C45D357490}">
          <x15:cacheHierarchy aggregatedColumn="5"/>
        </ext>
      </extLst>
    </cacheHierarchy>
    <cacheHierarchy uniqueName="[Measures].[Count of Description]" caption="Count of Description" measure="1" displayFolder="" measureGroup="Downtime_Factors" count="0" hidden="1">
      <extLst>
        <ext xmlns:x15="http://schemas.microsoft.com/office/spreadsheetml/2010/11/main" uri="{B97F6D7D-B522-45F9-BDA1-12C45D357490}">
          <x15:cacheHierarchy aggregatedColumn="1"/>
        </ext>
      </extLst>
    </cacheHierarchy>
    <cacheHierarchy uniqueName="[Measures].[Count of Operator Error]" caption="Count of Operator Error" measure="1" displayFolder="" measureGroup="Downtime_Factors" count="0" hidden="1">
      <extLst>
        <ext xmlns:x15="http://schemas.microsoft.com/office/spreadsheetml/2010/11/main" uri="{B97F6D7D-B522-45F9-BDA1-12C45D357490}">
          <x15:cacheHierarchy aggregatedColumn="2"/>
        </ext>
      </extLst>
    </cacheHierarchy>
    <cacheHierarchy uniqueName="[Measures].[Count of Factor]" caption="Count of Factor" measure="1" displayFolder="" measureGroup="Line_Downtime" count="0" hidden="1">
      <extLst>
        <ext xmlns:x15="http://schemas.microsoft.com/office/spreadsheetml/2010/11/main" uri="{B97F6D7D-B522-45F9-BDA1-12C45D357490}">
          <x15:cacheHierarchy aggregatedColumn="4"/>
        </ext>
      </extLst>
    </cacheHierarchy>
    <cacheHierarchy uniqueName="[Measures].[Count of Batch]" caption="Count of Batch" measure="1" displayFolder="" measureGroup="Line_Productivity" count="0" hidden="1">
      <extLst>
        <ext xmlns:x15="http://schemas.microsoft.com/office/spreadsheetml/2010/11/main" uri="{B97F6D7D-B522-45F9-BDA1-12C45D357490}">
          <x15:cacheHierarchy aggregatedColumn="11"/>
        </ext>
      </extLst>
    </cacheHierarchy>
    <cacheHierarchy uniqueName="[Measures].[Count of Batch 2]" caption="Count of Batch 2" measure="1" displayFolder="" measureGroup="Line_Downtime" count="0" hidden="1">
      <extLst>
        <ext xmlns:x15="http://schemas.microsoft.com/office/spreadsheetml/2010/11/main" uri="{B97F6D7D-B522-45F9-BDA1-12C45D357490}">
          <x15:cacheHierarchy aggregatedColumn="3"/>
        </ext>
      </extLst>
    </cacheHierarchy>
    <cacheHierarchy uniqueName="[Measures].[Count of Product]" caption="Count of Product" measure="1" displayFolder="" measureGroup="Line_Productivity" count="0" hidden="1">
      <extLst>
        <ext xmlns:x15="http://schemas.microsoft.com/office/spreadsheetml/2010/11/main" uri="{B97F6D7D-B522-45F9-BDA1-12C45D357490}">
          <x15:cacheHierarchy aggregatedColumn="10"/>
        </ext>
      </extLst>
    </cacheHierarchy>
    <cacheHierarchy uniqueName="[Measures].[Sum of Factor]" caption="Sum of Factor" measure="1" displayFolder="" measureGroup="Downtime_Factors" count="0" hidden="1">
      <extLst>
        <ext xmlns:x15="http://schemas.microsoft.com/office/spreadsheetml/2010/11/main" uri="{B97F6D7D-B522-45F9-BDA1-12C45D357490}">
          <x15:cacheHierarchy aggregatedColumn="0"/>
        </ext>
      </extLst>
    </cacheHierarchy>
    <cacheHierarchy uniqueName="[Measures].[Count of Downtime]" caption="Count of Downtime" measure="1" displayFolder="" measureGroup="Line_Downtime" count="0" hidden="1">
      <extLst>
        <ext xmlns:x15="http://schemas.microsoft.com/office/spreadsheetml/2010/11/main" uri="{B97F6D7D-B522-45F9-BDA1-12C45D357490}">
          <x15:cacheHierarchy aggregatedColumn="5"/>
        </ext>
      </extLst>
    </cacheHierarchy>
  </cacheHierarchies>
  <kpis count="0"/>
  <dimensions count="5">
    <dimension name="Downtime_Factors" uniqueName="[Downtime_Factors]" caption="Downtime_Factors"/>
    <dimension name="Line_Downtime" uniqueName="[Line_Downtime]" caption="Line_Downtime"/>
    <dimension name="Line_Productivity" uniqueName="[Line_Productivity]" caption="Line_Productivity"/>
    <dimension measure="1" name="Measures" uniqueName="[Measures]" caption="Measures"/>
    <dimension name="Product" uniqueName="[Product]" caption="Product"/>
  </dimensions>
  <measureGroups count="4">
    <measureGroup name="Downtime_Factors" caption="Downtime_Factors"/>
    <measureGroup name="Line_Downtime" caption="Line_Downtime"/>
    <measureGroup name="Line_Productivity" caption="Line_Productivity"/>
    <measureGroup name="Product" caption="Product"/>
  </measureGroups>
  <maps count="8">
    <map measureGroup="0" dimension="0"/>
    <map measureGroup="1" dimension="0"/>
    <map measureGroup="1" dimension="1"/>
    <map measureGroup="1" dimension="2"/>
    <map measureGroup="1" dimension="4"/>
    <map measureGroup="2" dimension="2"/>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995.330197800926" backgroundQuery="1" createdVersion="8" refreshedVersion="8" minRefreshableVersion="3" recordCount="0" supportSubquery="1" supportAdvancedDrill="1" xr:uid="{550F71C8-C1D8-49B0-B783-9D5672F33236}">
  <cacheSource type="external" connectionId="6"/>
  <cacheFields count="3">
    <cacheField name="[Measures].[Line Eff %]" caption="Line Eff %" numFmtId="0" hierarchy="25" level="32767"/>
    <cacheField name="[Measures].[Line ineff %]" caption="Line ineff %" numFmtId="0" hierarchy="27" level="32767"/>
    <cacheField name="[Line_Productivity].[Year].[Year]" caption="Year" numFmtId="0" hierarchy="9" level="1">
      <sharedItems containsSemiMixedTypes="0" containsNonDate="0" containsString="0"/>
    </cacheField>
  </cacheFields>
  <cacheHierarchies count="51">
    <cacheHierarchy uniqueName="[Downtime_Factors].[Factor]" caption="Factor" attribute="1" defaultMemberUniqueName="[Downtime_Factors].[Factor].[All]" allUniqueName="[Downtime_Factors].[Factor].[All]" dimensionUniqueName="[Downtime_Factors]" displayFolder="" count="0" memberValueDatatype="20" unbalanced="0"/>
    <cacheHierarchy uniqueName="[Downtime_Factors].[Description]" caption="Description" attribute="1" defaultMemberUniqueName="[Downtime_Factors].[Description].[All]" allUniqueName="[Downtime_Factors].[Description].[All]" dimensionUniqueName="[Downtime_Factors]" displayFolder="" count="0" memberValueDatatype="130" unbalanced="0"/>
    <cacheHierarchy uniqueName="[Downtime_Factors].[Operator Error]" caption="Operator Error" attribute="1" defaultMemberUniqueName="[Downtime_Factors].[Operator Error].[All]" allUniqueName="[Downtime_Factors].[Operator Error].[All]" dimensionUniqueName="[Downtime_Factors]" displayFolder="" count="2" memberValueDatatype="130" unbalanced="0"/>
    <cacheHierarchy uniqueName="[Line_Downtime].[Batch]" caption="Batch" attribute="1" defaultMemberUniqueName="[Line_Downtime].[Batch].[All]" allUniqueName="[Line_Downtime].[Batch].[All]" dimensionUniqueName="[Line_Downtime]" displayFolder="" count="0" memberValueDatatype="130" unbalanced="0"/>
    <cacheHierarchy uniqueName="[Line_Downtime].[Factor]" caption="Factor" attribute="1" defaultMemberUniqueName="[Line_Downtime].[Factor].[All]" allUniqueName="[Line_Downtime].[Factor].[All]" dimensionUniqueName="[Line_Downtime]" displayFolder="" count="0" memberValueDatatype="130" unbalanced="0"/>
    <cacheHierarchy uniqueName="[Line_Downtime].[Downtime]" caption="Downtime" attribute="1" defaultMemberUniqueName="[Line_Downtime].[Downtime].[All]" allUniqueName="[Line_Downtime].[Downtime].[All]" dimensionUniqueName="[Line_Downtime]" displayFolder="" count="0" memberValueDatatype="5" unbalanced="0"/>
    <cacheHierarchy uniqueName="[Line_Productivity].[Date]" caption="Date" attribute="1" time="1" defaultMemberUniqueName="[Line_Productivity].[Date].[All]" allUniqueName="[Line_Productivity].[Date].[All]" dimensionUniqueName="[Line_Productivity]" displayFolder="" count="0" memberValueDatatype="7" unbalanced="0"/>
    <cacheHierarchy uniqueName="[Line_Productivity].[Month]" caption="Month" attribute="1" defaultMemberUniqueName="[Line_Productivity].[Month].[All]" allUniqueName="[Line_Productivity].[Month].[All]" dimensionUniqueName="[Line_Productivity]" displayFolder="" count="2" memberValueDatatype="130" unbalanced="0"/>
    <cacheHierarchy uniqueName="[Line_Productivity].[Day]" caption="Day" attribute="1" defaultMemberUniqueName="[Line_Productivity].[Day].[All]" allUniqueName="[Line_Productivity].[Day].[All]" dimensionUniqueName="[Line_Productivity]" displayFolder="" count="0" memberValueDatatype="130" unbalanced="0"/>
    <cacheHierarchy uniqueName="[Line_Productivity].[Year]" caption="Year" attribute="1" defaultMemberUniqueName="[Line_Productivity].[Year].[All]" allUniqueName="[Line_Productivity].[Year].[All]" dimensionUniqueName="[Line_Productivity]" displayFolder="" count="2" memberValueDatatype="130" unbalanced="0">
      <fieldsUsage count="2">
        <fieldUsage x="-1"/>
        <fieldUsage x="2"/>
      </fieldsUsage>
    </cacheHierarchy>
    <cacheHierarchy uniqueName="[Line_Productivity].[Product]" caption="Product" attribute="1" defaultMemberUniqueName="[Line_Productivity].[Product].[All]" allUniqueName="[Line_Productivity].[Product].[All]" dimensionUniqueName="[Line_Productivity]" displayFolder="" count="0" memberValueDatatype="130" unbalanced="0"/>
    <cacheHierarchy uniqueName="[Line_Productivity].[Batch]" caption="Batch" attribute="1" defaultMemberUniqueName="[Line_Productivity].[Batch].[All]" allUniqueName="[Line_Productivity].[Batch].[All]" dimensionUniqueName="[Line_Productivity]" displayFolder="" count="0" memberValueDatatype="130" unbalanced="0"/>
    <cacheHierarchy uniqueName="[Line_Productivity].[Operator]" caption="Operator" attribute="1" defaultMemberUniqueName="[Line_Productivity].[Operator].[All]" allUniqueName="[Line_Productivity].[Operator].[All]" dimensionUniqueName="[Line_Productivity]" displayFolder="" count="2" memberValueDatatype="130" unbalanced="0"/>
    <cacheHierarchy uniqueName="[Line_Productivity].[Start Time]" caption="Start Time" attribute="1" time="1" defaultMemberUniqueName="[Line_Productivity].[Start Time].[All]" allUniqueName="[Line_Productivity].[Start Time].[All]" dimensionUniqueName="[Line_Productivity]" displayFolder="" count="0" memberValueDatatype="7" unbalanced="0"/>
    <cacheHierarchy uniqueName="[Line_Productivity].[End Time]" caption="End Time" attribute="1" time="1" defaultMemberUniqueName="[Line_Productivity].[End Time].[All]" allUniqueName="[Line_Productivity].[End Time].[All]" dimensionUniqueName="[Line_Productivity]" displayFolder="" count="0" memberValueDatatype="7" unbalanced="0"/>
    <cacheHierarchy uniqueName="[Line_Productivity].[Worked Hours]" caption="Worked Hours" attribute="1" defaultMemberUniqueName="[Line_Productivity].[Worked Hours].[All]" allUniqueName="[Line_Productivity].[Worked Hours].[All]" dimensionUniqueName="[Line_Productivity]" displayFolder="" count="0" memberValueDatatype="5" unbalanced="0"/>
    <cacheHierarchy uniqueName="[Line_Productivity].[Min Batch Time]" caption="Min Batch Time" attribute="1" defaultMemberUniqueName="[Line_Productivity].[Min Batch Time].[All]" allUniqueName="[Line_Productivity].[Min Batch Time].[All]" dimensionUniqueName="[Line_Productivity]" displayFolder="" count="0" memberValueDatatype="5" unbalanced="0"/>
    <cacheHierarchy uniqueName="[Line_Productivity].[Date (Month)]" caption="Date (Month)" attribute="1" defaultMemberUniqueName="[Line_Productivity].[Date (Month)].[All]" allUniqueName="[Line_Productivity].[Date (Month)].[All]" dimensionUniqueName="[Line_Productivity]" displayFolder="" count="0" memberValueDatatype="130" unbalanced="0"/>
    <cacheHierarchy uniqueName="[Product].[Product]" caption="Product" attribute="1" defaultMemberUniqueName="[Product].[Product].[All]" allUniqueName="[Product].[Product].[All]" dimensionUniqueName="[Product]" displayFolder="" count="0" memberValueDatatype="130" unbalanced="0"/>
    <cacheHierarchy uniqueName="[Product].[Flavor]" caption="Flavor" attribute="1" defaultMemberUniqueName="[Product].[Flavor].[All]" allUniqueName="[Product].[Flavor].[All]" dimensionUniqueName="[Product]" displayFolder="" count="0" memberValueDatatype="130" unbalanced="0"/>
    <cacheHierarchy uniqueName="[Product].[Size]" caption="Size" attribute="1" defaultMemberUniqueName="[Product].[Size].[All]" allUniqueName="[Product].[Size].[All]" dimensionUniqueName="[Product]" displayFolder="" count="0" memberValueDatatype="130" unbalanced="0"/>
    <cacheHierarchy uniqueName="[Product].[Min batch time]" caption="Min batch time" attribute="1" defaultMemberUniqueName="[Product].[Min batch time].[All]" allUniqueName="[Product].[Min batch time].[All]" dimensionUniqueName="[Product]" displayFolder="" count="0" memberValueDatatype="5" unbalanced="0"/>
    <cacheHierarchy uniqueName="[Line_Productivity].[Date (Month Index)]" caption="Date (Month Index)" attribute="1" defaultMemberUniqueName="[Line_Productivity].[Date (Month Index)].[All]" allUniqueName="[Line_Productivity].[Date (Month Index)].[All]" dimensionUniqueName="[Line_Productivity]" displayFolder="" count="0" memberValueDatatype="20" unbalanced="0" hidden="1"/>
    <cacheHierarchy uniqueName="[Measures].[Total Worked Hours]" caption="Total Worked Hours" measure="1" displayFolder="" measureGroup="Line_Productivity" count="0"/>
    <cacheHierarchy uniqueName="[Measures].[Total Min Batch Time]" caption="Total Min Batch Time" measure="1" displayFolder="" measureGroup="Line_Productivity" count="0"/>
    <cacheHierarchy uniqueName="[Measures].[Line Eff %]" caption="Line Eff %" measure="1" displayFolder="" measureGroup="Line_Productivity" count="0" oneField="1">
      <fieldsUsage count="1">
        <fieldUsage x="0"/>
      </fieldsUsage>
    </cacheHierarchy>
    <cacheHierarchy uniqueName="[Measures].[Total Downtime]" caption="Total Downtime" measure="1" displayFolder="" measureGroup="Line_Productivity" count="0"/>
    <cacheHierarchy uniqueName="[Measures].[Line ineff %]" caption="Line ineff %" measure="1" displayFolder="" measureGroup="Line_Productivity" count="0" oneField="1">
      <fieldsUsage count="1">
        <fieldUsage x="1"/>
      </fieldsUsage>
    </cacheHierarchy>
    <cacheHierarchy uniqueName="[Measures].[DOWNTIME RATIO]" caption="DOWNTIME RATIO" measure="1" displayFolder="" measureGroup="Line_Productivity" count="0"/>
    <cacheHierarchy uniqueName="[Measures].[STANDARD TIME RATIO]" caption="STANDARD TIME RATIO" measure="1" displayFolder="" measureGroup="Line_Productivity" count="0"/>
    <cacheHierarchy uniqueName="[Measures].[Total Batch Count]" caption="Total Batch Count" measure="1" displayFolder="" measureGroup="Line_Productivity" count="0"/>
    <cacheHierarchy uniqueName="[Measures].[AVE BATCH DOWNTIME]" caption="AVE BATCH DOWNTIME" measure="1" displayFolder="" measureGroup="Line_Productivity" count="0"/>
    <cacheHierarchy uniqueName="[Measures].[RATIO]" caption="RATIO" measure="1" displayFolder="" measureGroup="Line_Productivity" count="0"/>
    <cacheHierarchy uniqueName="[Measures].[ STANDARD TIME RATIO]" caption=" STANDARD TIME RATIO" measure="1" displayFolder="" measureGroup="Line_Productivity" count="0"/>
    <cacheHierarchy uniqueName="[Measures].[__XL_Count Product]" caption="__XL_Count Product" measure="1" displayFolder="" measureGroup="Product" count="0" hidden="1"/>
    <cacheHierarchy uniqueName="[Measures].[__XL_Count Downtime_Factors]" caption="__XL_Count Downtime_Factors" measure="1" displayFolder="" measureGroup="Downtime_Factors" count="0" hidden="1"/>
    <cacheHierarchy uniqueName="[Measures].[__XL_Count Line_Downtime]" caption="__XL_Count Line_Downtime" measure="1" displayFolder="" measureGroup="Line_Downtime" count="0" hidden="1"/>
    <cacheHierarchy uniqueName="[Measures].[__XL_Count Line_Productivity]" caption="__XL_Count Line_Productivity" measure="1" displayFolder="" measureGroup="Line_Productivity" count="0" hidden="1"/>
    <cacheHierarchy uniqueName="[Measures].[__No measures defined]" caption="__No measures defined" measure="1" displayFolder="" count="0" hidden="1"/>
    <cacheHierarchy uniqueName="[Measures].[Sum of Min batch time]" caption="Sum of Min batch time" measure="1" displayFolder="" measureGroup="Product" count="0" hidden="1">
      <extLst>
        <ext xmlns:x15="http://schemas.microsoft.com/office/spreadsheetml/2010/11/main" uri="{B97F6D7D-B522-45F9-BDA1-12C45D357490}">
          <x15:cacheHierarchy aggregatedColumn="21"/>
        </ext>
      </extLst>
    </cacheHierarchy>
    <cacheHierarchy uniqueName="[Measures].[Sum of Min Batch Time 2]" caption="Sum of Min Batch Time 2" measure="1" displayFolder="" measureGroup="Line_Productivity" count="0" hidden="1">
      <extLst>
        <ext xmlns:x15="http://schemas.microsoft.com/office/spreadsheetml/2010/11/main" uri="{B97F6D7D-B522-45F9-BDA1-12C45D357490}">
          <x15:cacheHierarchy aggregatedColumn="16"/>
        </ext>
      </extLst>
    </cacheHierarchy>
    <cacheHierarchy uniqueName="[Measures].[Sum of Worked Hours]" caption="Sum of Worked Hours" measure="1" displayFolder="" measureGroup="Line_Productivity" count="0" hidden="1">
      <extLst>
        <ext xmlns:x15="http://schemas.microsoft.com/office/spreadsheetml/2010/11/main" uri="{B97F6D7D-B522-45F9-BDA1-12C45D357490}">
          <x15:cacheHierarchy aggregatedColumn="15"/>
        </ext>
      </extLst>
    </cacheHierarchy>
    <cacheHierarchy uniqueName="[Measures].[Sum of Downtime]" caption="Sum of Downtime" measure="1" displayFolder="" measureGroup="Line_Downtime" count="0" hidden="1">
      <extLst>
        <ext xmlns:x15="http://schemas.microsoft.com/office/spreadsheetml/2010/11/main" uri="{B97F6D7D-B522-45F9-BDA1-12C45D357490}">
          <x15:cacheHierarchy aggregatedColumn="5"/>
        </ext>
      </extLst>
    </cacheHierarchy>
    <cacheHierarchy uniqueName="[Measures].[Count of Description]" caption="Count of Description" measure="1" displayFolder="" measureGroup="Downtime_Factors" count="0" hidden="1">
      <extLst>
        <ext xmlns:x15="http://schemas.microsoft.com/office/spreadsheetml/2010/11/main" uri="{B97F6D7D-B522-45F9-BDA1-12C45D357490}">
          <x15:cacheHierarchy aggregatedColumn="1"/>
        </ext>
      </extLst>
    </cacheHierarchy>
    <cacheHierarchy uniqueName="[Measures].[Count of Operator Error]" caption="Count of Operator Error" measure="1" displayFolder="" measureGroup="Downtime_Factors" count="0" hidden="1">
      <extLst>
        <ext xmlns:x15="http://schemas.microsoft.com/office/spreadsheetml/2010/11/main" uri="{B97F6D7D-B522-45F9-BDA1-12C45D357490}">
          <x15:cacheHierarchy aggregatedColumn="2"/>
        </ext>
      </extLst>
    </cacheHierarchy>
    <cacheHierarchy uniqueName="[Measures].[Count of Factor]" caption="Count of Factor" measure="1" displayFolder="" measureGroup="Line_Downtime" count="0" hidden="1">
      <extLst>
        <ext xmlns:x15="http://schemas.microsoft.com/office/spreadsheetml/2010/11/main" uri="{B97F6D7D-B522-45F9-BDA1-12C45D357490}">
          <x15:cacheHierarchy aggregatedColumn="4"/>
        </ext>
      </extLst>
    </cacheHierarchy>
    <cacheHierarchy uniqueName="[Measures].[Count of Batch]" caption="Count of Batch" measure="1" displayFolder="" measureGroup="Line_Productivity" count="0" hidden="1">
      <extLst>
        <ext xmlns:x15="http://schemas.microsoft.com/office/spreadsheetml/2010/11/main" uri="{B97F6D7D-B522-45F9-BDA1-12C45D357490}">
          <x15:cacheHierarchy aggregatedColumn="11"/>
        </ext>
      </extLst>
    </cacheHierarchy>
    <cacheHierarchy uniqueName="[Measures].[Count of Batch 2]" caption="Count of Batch 2" measure="1" displayFolder="" measureGroup="Line_Downtime" count="0" hidden="1">
      <extLst>
        <ext xmlns:x15="http://schemas.microsoft.com/office/spreadsheetml/2010/11/main" uri="{B97F6D7D-B522-45F9-BDA1-12C45D357490}">
          <x15:cacheHierarchy aggregatedColumn="3"/>
        </ext>
      </extLst>
    </cacheHierarchy>
    <cacheHierarchy uniqueName="[Measures].[Count of Product]" caption="Count of Product" measure="1" displayFolder="" measureGroup="Line_Productivity" count="0" hidden="1">
      <extLst>
        <ext xmlns:x15="http://schemas.microsoft.com/office/spreadsheetml/2010/11/main" uri="{B97F6D7D-B522-45F9-BDA1-12C45D357490}">
          <x15:cacheHierarchy aggregatedColumn="10"/>
        </ext>
      </extLst>
    </cacheHierarchy>
    <cacheHierarchy uniqueName="[Measures].[Sum of Factor]" caption="Sum of Factor" measure="1" displayFolder="" measureGroup="Downtime_Factors" count="0" hidden="1">
      <extLst>
        <ext xmlns:x15="http://schemas.microsoft.com/office/spreadsheetml/2010/11/main" uri="{B97F6D7D-B522-45F9-BDA1-12C45D357490}">
          <x15:cacheHierarchy aggregatedColumn="0"/>
        </ext>
      </extLst>
    </cacheHierarchy>
    <cacheHierarchy uniqueName="[Measures].[Count of Downtime]" caption="Count of Downtime" measure="1" displayFolder="" measureGroup="Line_Downtime" count="0" hidden="1">
      <extLst>
        <ext xmlns:x15="http://schemas.microsoft.com/office/spreadsheetml/2010/11/main" uri="{B97F6D7D-B522-45F9-BDA1-12C45D357490}">
          <x15:cacheHierarchy aggregatedColumn="5"/>
        </ext>
      </extLst>
    </cacheHierarchy>
  </cacheHierarchies>
  <kpis count="0"/>
  <dimensions count="5">
    <dimension name="Downtime_Factors" uniqueName="[Downtime_Factors]" caption="Downtime_Factors"/>
    <dimension name="Line_Downtime" uniqueName="[Line_Downtime]" caption="Line_Downtime"/>
    <dimension name="Line_Productivity" uniqueName="[Line_Productivity]" caption="Line_Productivity"/>
    <dimension measure="1" name="Measures" uniqueName="[Measures]" caption="Measures"/>
    <dimension name="Product" uniqueName="[Product]" caption="Product"/>
  </dimensions>
  <measureGroups count="4">
    <measureGroup name="Downtime_Factors" caption="Downtime_Factors"/>
    <measureGroup name="Line_Downtime" caption="Line_Downtime"/>
    <measureGroup name="Line_Productivity" caption="Line_Productivity"/>
    <measureGroup name="Product" caption="Product"/>
  </measureGroups>
  <maps count="8">
    <map measureGroup="0" dimension="0"/>
    <map measureGroup="1" dimension="0"/>
    <map measureGroup="1" dimension="1"/>
    <map measureGroup="1" dimension="2"/>
    <map measureGroup="1" dimension="4"/>
    <map measureGroup="2" dimension="2"/>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995.330198611111" backgroundQuery="1" createdVersion="8" refreshedVersion="8" minRefreshableVersion="3" recordCount="0" supportSubquery="1" supportAdvancedDrill="1" xr:uid="{E60A27AE-240B-4529-9AD5-6DA8F6988400}">
  <cacheSource type="external" connectionId="6"/>
  <cacheFields count="3">
    <cacheField name="[Measures].[Line ineff %]" caption="Line ineff %" numFmtId="0" hierarchy="27" level="32767"/>
    <cacheField name="[Measures].[Line Eff %]" caption="Line Eff %" numFmtId="0" hierarchy="25" level="32767"/>
    <cacheField name="[Line_Productivity].[Year].[Year]" caption="Year" numFmtId="0" hierarchy="9" level="1">
      <sharedItems containsSemiMixedTypes="0" containsNonDate="0" containsString="0"/>
    </cacheField>
  </cacheFields>
  <cacheHierarchies count="51">
    <cacheHierarchy uniqueName="[Downtime_Factors].[Factor]" caption="Factor" attribute="1" defaultMemberUniqueName="[Downtime_Factors].[Factor].[All]" allUniqueName="[Downtime_Factors].[Factor].[All]" dimensionUniqueName="[Downtime_Factors]" displayFolder="" count="0" memberValueDatatype="20" unbalanced="0"/>
    <cacheHierarchy uniqueName="[Downtime_Factors].[Description]" caption="Description" attribute="1" defaultMemberUniqueName="[Downtime_Factors].[Description].[All]" allUniqueName="[Downtime_Factors].[Description].[All]" dimensionUniqueName="[Downtime_Factors]" displayFolder="" count="0" memberValueDatatype="130" unbalanced="0"/>
    <cacheHierarchy uniqueName="[Downtime_Factors].[Operator Error]" caption="Operator Error" attribute="1" defaultMemberUniqueName="[Downtime_Factors].[Operator Error].[All]" allUniqueName="[Downtime_Factors].[Operator Error].[All]" dimensionUniqueName="[Downtime_Factors]" displayFolder="" count="2" memberValueDatatype="130" unbalanced="0"/>
    <cacheHierarchy uniqueName="[Line_Downtime].[Batch]" caption="Batch" attribute="1" defaultMemberUniqueName="[Line_Downtime].[Batch].[All]" allUniqueName="[Line_Downtime].[Batch].[All]" dimensionUniqueName="[Line_Downtime]" displayFolder="" count="0" memberValueDatatype="130" unbalanced="0"/>
    <cacheHierarchy uniqueName="[Line_Downtime].[Factor]" caption="Factor" attribute="1" defaultMemberUniqueName="[Line_Downtime].[Factor].[All]" allUniqueName="[Line_Downtime].[Factor].[All]" dimensionUniqueName="[Line_Downtime]" displayFolder="" count="0" memberValueDatatype="130" unbalanced="0"/>
    <cacheHierarchy uniqueName="[Line_Downtime].[Downtime]" caption="Downtime" attribute="1" defaultMemberUniqueName="[Line_Downtime].[Downtime].[All]" allUniqueName="[Line_Downtime].[Downtime].[All]" dimensionUniqueName="[Line_Downtime]" displayFolder="" count="0" memberValueDatatype="5" unbalanced="0"/>
    <cacheHierarchy uniqueName="[Line_Productivity].[Date]" caption="Date" attribute="1" time="1" defaultMemberUniqueName="[Line_Productivity].[Date].[All]" allUniqueName="[Line_Productivity].[Date].[All]" dimensionUniqueName="[Line_Productivity]" displayFolder="" count="0" memberValueDatatype="7" unbalanced="0"/>
    <cacheHierarchy uniqueName="[Line_Productivity].[Month]" caption="Month" attribute="1" defaultMemberUniqueName="[Line_Productivity].[Month].[All]" allUniqueName="[Line_Productivity].[Month].[All]" dimensionUniqueName="[Line_Productivity]" displayFolder="" count="2" memberValueDatatype="130" unbalanced="0"/>
    <cacheHierarchy uniqueName="[Line_Productivity].[Day]" caption="Day" attribute="1" defaultMemberUniqueName="[Line_Productivity].[Day].[All]" allUniqueName="[Line_Productivity].[Day].[All]" dimensionUniqueName="[Line_Productivity]" displayFolder="" count="0" memberValueDatatype="130" unbalanced="0"/>
    <cacheHierarchy uniqueName="[Line_Productivity].[Year]" caption="Year" attribute="1" defaultMemberUniqueName="[Line_Productivity].[Year].[All]" allUniqueName="[Line_Productivity].[Year].[All]" dimensionUniqueName="[Line_Productivity]" displayFolder="" count="2" memberValueDatatype="130" unbalanced="0">
      <fieldsUsage count="2">
        <fieldUsage x="-1"/>
        <fieldUsage x="2"/>
      </fieldsUsage>
    </cacheHierarchy>
    <cacheHierarchy uniqueName="[Line_Productivity].[Product]" caption="Product" attribute="1" defaultMemberUniqueName="[Line_Productivity].[Product].[All]" allUniqueName="[Line_Productivity].[Product].[All]" dimensionUniqueName="[Line_Productivity]" displayFolder="" count="0" memberValueDatatype="130" unbalanced="0"/>
    <cacheHierarchy uniqueName="[Line_Productivity].[Batch]" caption="Batch" attribute="1" defaultMemberUniqueName="[Line_Productivity].[Batch].[All]" allUniqueName="[Line_Productivity].[Batch].[All]" dimensionUniqueName="[Line_Productivity]" displayFolder="" count="0" memberValueDatatype="130" unbalanced="0"/>
    <cacheHierarchy uniqueName="[Line_Productivity].[Operator]" caption="Operator" attribute="1" defaultMemberUniqueName="[Line_Productivity].[Operator].[All]" allUniqueName="[Line_Productivity].[Operator].[All]" dimensionUniqueName="[Line_Productivity]" displayFolder="" count="2" memberValueDatatype="130" unbalanced="0"/>
    <cacheHierarchy uniqueName="[Line_Productivity].[Start Time]" caption="Start Time" attribute="1" time="1" defaultMemberUniqueName="[Line_Productivity].[Start Time].[All]" allUniqueName="[Line_Productivity].[Start Time].[All]" dimensionUniqueName="[Line_Productivity]" displayFolder="" count="0" memberValueDatatype="7" unbalanced="0"/>
    <cacheHierarchy uniqueName="[Line_Productivity].[End Time]" caption="End Time" attribute="1" time="1" defaultMemberUniqueName="[Line_Productivity].[End Time].[All]" allUniqueName="[Line_Productivity].[End Time].[All]" dimensionUniqueName="[Line_Productivity]" displayFolder="" count="0" memberValueDatatype="7" unbalanced="0"/>
    <cacheHierarchy uniqueName="[Line_Productivity].[Worked Hours]" caption="Worked Hours" attribute="1" defaultMemberUniqueName="[Line_Productivity].[Worked Hours].[All]" allUniqueName="[Line_Productivity].[Worked Hours].[All]" dimensionUniqueName="[Line_Productivity]" displayFolder="" count="0" memberValueDatatype="5" unbalanced="0"/>
    <cacheHierarchy uniqueName="[Line_Productivity].[Min Batch Time]" caption="Min Batch Time" attribute="1" defaultMemberUniqueName="[Line_Productivity].[Min Batch Time].[All]" allUniqueName="[Line_Productivity].[Min Batch Time].[All]" dimensionUniqueName="[Line_Productivity]" displayFolder="" count="0" memberValueDatatype="5" unbalanced="0"/>
    <cacheHierarchy uniqueName="[Line_Productivity].[Date (Month)]" caption="Date (Month)" attribute="1" defaultMemberUniqueName="[Line_Productivity].[Date (Month)].[All]" allUniqueName="[Line_Productivity].[Date (Month)].[All]" dimensionUniqueName="[Line_Productivity]" displayFolder="" count="0" memberValueDatatype="130" unbalanced="0"/>
    <cacheHierarchy uniqueName="[Product].[Product]" caption="Product" attribute="1" defaultMemberUniqueName="[Product].[Product].[All]" allUniqueName="[Product].[Product].[All]" dimensionUniqueName="[Product]" displayFolder="" count="0" memberValueDatatype="130" unbalanced="0"/>
    <cacheHierarchy uniqueName="[Product].[Flavor]" caption="Flavor" attribute="1" defaultMemberUniqueName="[Product].[Flavor].[All]" allUniqueName="[Product].[Flavor].[All]" dimensionUniqueName="[Product]" displayFolder="" count="0" memberValueDatatype="130" unbalanced="0"/>
    <cacheHierarchy uniqueName="[Product].[Size]" caption="Size" attribute="1" defaultMemberUniqueName="[Product].[Size].[All]" allUniqueName="[Product].[Size].[All]" dimensionUniqueName="[Product]" displayFolder="" count="0" memberValueDatatype="130" unbalanced="0"/>
    <cacheHierarchy uniqueName="[Product].[Min batch time]" caption="Min batch time" attribute="1" defaultMemberUniqueName="[Product].[Min batch time].[All]" allUniqueName="[Product].[Min batch time].[All]" dimensionUniqueName="[Product]" displayFolder="" count="0" memberValueDatatype="5" unbalanced="0"/>
    <cacheHierarchy uniqueName="[Line_Productivity].[Date (Month Index)]" caption="Date (Month Index)" attribute="1" defaultMemberUniqueName="[Line_Productivity].[Date (Month Index)].[All]" allUniqueName="[Line_Productivity].[Date (Month Index)].[All]" dimensionUniqueName="[Line_Productivity]" displayFolder="" count="0" memberValueDatatype="20" unbalanced="0" hidden="1"/>
    <cacheHierarchy uniqueName="[Measures].[Total Worked Hours]" caption="Total Worked Hours" measure="1" displayFolder="" measureGroup="Line_Productivity" count="0"/>
    <cacheHierarchy uniqueName="[Measures].[Total Min Batch Time]" caption="Total Min Batch Time" measure="1" displayFolder="" measureGroup="Line_Productivity" count="0"/>
    <cacheHierarchy uniqueName="[Measures].[Line Eff %]" caption="Line Eff %" measure="1" displayFolder="" measureGroup="Line_Productivity" count="0" oneField="1">
      <fieldsUsage count="1">
        <fieldUsage x="1"/>
      </fieldsUsage>
    </cacheHierarchy>
    <cacheHierarchy uniqueName="[Measures].[Total Downtime]" caption="Total Downtime" measure="1" displayFolder="" measureGroup="Line_Productivity" count="0"/>
    <cacheHierarchy uniqueName="[Measures].[Line ineff %]" caption="Line ineff %" measure="1" displayFolder="" measureGroup="Line_Productivity" count="0" oneField="1">
      <fieldsUsage count="1">
        <fieldUsage x="0"/>
      </fieldsUsage>
    </cacheHierarchy>
    <cacheHierarchy uniqueName="[Measures].[DOWNTIME RATIO]" caption="DOWNTIME RATIO" measure="1" displayFolder="" measureGroup="Line_Productivity" count="0"/>
    <cacheHierarchy uniqueName="[Measures].[STANDARD TIME RATIO]" caption="STANDARD TIME RATIO" measure="1" displayFolder="" measureGroup="Line_Productivity" count="0"/>
    <cacheHierarchy uniqueName="[Measures].[Total Batch Count]" caption="Total Batch Count" measure="1" displayFolder="" measureGroup="Line_Productivity" count="0"/>
    <cacheHierarchy uniqueName="[Measures].[AVE BATCH DOWNTIME]" caption="AVE BATCH DOWNTIME" measure="1" displayFolder="" measureGroup="Line_Productivity" count="0"/>
    <cacheHierarchy uniqueName="[Measures].[RATIO]" caption="RATIO" measure="1" displayFolder="" measureGroup="Line_Productivity" count="0"/>
    <cacheHierarchy uniqueName="[Measures].[ STANDARD TIME RATIO]" caption=" STANDARD TIME RATIO" measure="1" displayFolder="" measureGroup="Line_Productivity" count="0"/>
    <cacheHierarchy uniqueName="[Measures].[__XL_Count Product]" caption="__XL_Count Product" measure="1" displayFolder="" measureGroup="Product" count="0" hidden="1"/>
    <cacheHierarchy uniqueName="[Measures].[__XL_Count Downtime_Factors]" caption="__XL_Count Downtime_Factors" measure="1" displayFolder="" measureGroup="Downtime_Factors" count="0" hidden="1"/>
    <cacheHierarchy uniqueName="[Measures].[__XL_Count Line_Downtime]" caption="__XL_Count Line_Downtime" measure="1" displayFolder="" measureGroup="Line_Downtime" count="0" hidden="1"/>
    <cacheHierarchy uniqueName="[Measures].[__XL_Count Line_Productivity]" caption="__XL_Count Line_Productivity" measure="1" displayFolder="" measureGroup="Line_Productivity" count="0" hidden="1"/>
    <cacheHierarchy uniqueName="[Measures].[__No measures defined]" caption="__No measures defined" measure="1" displayFolder="" count="0" hidden="1"/>
    <cacheHierarchy uniqueName="[Measures].[Sum of Min batch time]" caption="Sum of Min batch time" measure="1" displayFolder="" measureGroup="Product" count="0" hidden="1">
      <extLst>
        <ext xmlns:x15="http://schemas.microsoft.com/office/spreadsheetml/2010/11/main" uri="{B97F6D7D-B522-45F9-BDA1-12C45D357490}">
          <x15:cacheHierarchy aggregatedColumn="21"/>
        </ext>
      </extLst>
    </cacheHierarchy>
    <cacheHierarchy uniqueName="[Measures].[Sum of Min Batch Time 2]" caption="Sum of Min Batch Time 2" measure="1" displayFolder="" measureGroup="Line_Productivity" count="0" hidden="1">
      <extLst>
        <ext xmlns:x15="http://schemas.microsoft.com/office/spreadsheetml/2010/11/main" uri="{B97F6D7D-B522-45F9-BDA1-12C45D357490}">
          <x15:cacheHierarchy aggregatedColumn="16"/>
        </ext>
      </extLst>
    </cacheHierarchy>
    <cacheHierarchy uniqueName="[Measures].[Sum of Worked Hours]" caption="Sum of Worked Hours" measure="1" displayFolder="" measureGroup="Line_Productivity" count="0" hidden="1">
      <extLst>
        <ext xmlns:x15="http://schemas.microsoft.com/office/spreadsheetml/2010/11/main" uri="{B97F6D7D-B522-45F9-BDA1-12C45D357490}">
          <x15:cacheHierarchy aggregatedColumn="15"/>
        </ext>
      </extLst>
    </cacheHierarchy>
    <cacheHierarchy uniqueName="[Measures].[Sum of Downtime]" caption="Sum of Downtime" measure="1" displayFolder="" measureGroup="Line_Downtime" count="0" hidden="1">
      <extLst>
        <ext xmlns:x15="http://schemas.microsoft.com/office/spreadsheetml/2010/11/main" uri="{B97F6D7D-B522-45F9-BDA1-12C45D357490}">
          <x15:cacheHierarchy aggregatedColumn="5"/>
        </ext>
      </extLst>
    </cacheHierarchy>
    <cacheHierarchy uniqueName="[Measures].[Count of Description]" caption="Count of Description" measure="1" displayFolder="" measureGroup="Downtime_Factors" count="0" hidden="1">
      <extLst>
        <ext xmlns:x15="http://schemas.microsoft.com/office/spreadsheetml/2010/11/main" uri="{B97F6D7D-B522-45F9-BDA1-12C45D357490}">
          <x15:cacheHierarchy aggregatedColumn="1"/>
        </ext>
      </extLst>
    </cacheHierarchy>
    <cacheHierarchy uniqueName="[Measures].[Count of Operator Error]" caption="Count of Operator Error" measure="1" displayFolder="" measureGroup="Downtime_Factors" count="0" hidden="1">
      <extLst>
        <ext xmlns:x15="http://schemas.microsoft.com/office/spreadsheetml/2010/11/main" uri="{B97F6D7D-B522-45F9-BDA1-12C45D357490}">
          <x15:cacheHierarchy aggregatedColumn="2"/>
        </ext>
      </extLst>
    </cacheHierarchy>
    <cacheHierarchy uniqueName="[Measures].[Count of Factor]" caption="Count of Factor" measure="1" displayFolder="" measureGroup="Line_Downtime" count="0" hidden="1">
      <extLst>
        <ext xmlns:x15="http://schemas.microsoft.com/office/spreadsheetml/2010/11/main" uri="{B97F6D7D-B522-45F9-BDA1-12C45D357490}">
          <x15:cacheHierarchy aggregatedColumn="4"/>
        </ext>
      </extLst>
    </cacheHierarchy>
    <cacheHierarchy uniqueName="[Measures].[Count of Batch]" caption="Count of Batch" measure="1" displayFolder="" measureGroup="Line_Productivity" count="0" hidden="1">
      <extLst>
        <ext xmlns:x15="http://schemas.microsoft.com/office/spreadsheetml/2010/11/main" uri="{B97F6D7D-B522-45F9-BDA1-12C45D357490}">
          <x15:cacheHierarchy aggregatedColumn="11"/>
        </ext>
      </extLst>
    </cacheHierarchy>
    <cacheHierarchy uniqueName="[Measures].[Count of Batch 2]" caption="Count of Batch 2" measure="1" displayFolder="" measureGroup="Line_Downtime" count="0" hidden="1">
      <extLst>
        <ext xmlns:x15="http://schemas.microsoft.com/office/spreadsheetml/2010/11/main" uri="{B97F6D7D-B522-45F9-BDA1-12C45D357490}">
          <x15:cacheHierarchy aggregatedColumn="3"/>
        </ext>
      </extLst>
    </cacheHierarchy>
    <cacheHierarchy uniqueName="[Measures].[Count of Product]" caption="Count of Product" measure="1" displayFolder="" measureGroup="Line_Productivity" count="0" hidden="1">
      <extLst>
        <ext xmlns:x15="http://schemas.microsoft.com/office/spreadsheetml/2010/11/main" uri="{B97F6D7D-B522-45F9-BDA1-12C45D357490}">
          <x15:cacheHierarchy aggregatedColumn="10"/>
        </ext>
      </extLst>
    </cacheHierarchy>
    <cacheHierarchy uniqueName="[Measures].[Sum of Factor]" caption="Sum of Factor" measure="1" displayFolder="" measureGroup="Downtime_Factors" count="0" hidden="1">
      <extLst>
        <ext xmlns:x15="http://schemas.microsoft.com/office/spreadsheetml/2010/11/main" uri="{B97F6D7D-B522-45F9-BDA1-12C45D357490}">
          <x15:cacheHierarchy aggregatedColumn="0"/>
        </ext>
      </extLst>
    </cacheHierarchy>
    <cacheHierarchy uniqueName="[Measures].[Count of Downtime]" caption="Count of Downtime" measure="1" displayFolder="" measureGroup="Line_Downtime" count="0" hidden="1">
      <extLst>
        <ext xmlns:x15="http://schemas.microsoft.com/office/spreadsheetml/2010/11/main" uri="{B97F6D7D-B522-45F9-BDA1-12C45D357490}">
          <x15:cacheHierarchy aggregatedColumn="5"/>
        </ext>
      </extLst>
    </cacheHierarchy>
  </cacheHierarchies>
  <kpis count="0"/>
  <dimensions count="5">
    <dimension name="Downtime_Factors" uniqueName="[Downtime_Factors]" caption="Downtime_Factors"/>
    <dimension name="Line_Downtime" uniqueName="[Line_Downtime]" caption="Line_Downtime"/>
    <dimension name="Line_Productivity" uniqueName="[Line_Productivity]" caption="Line_Productivity"/>
    <dimension measure="1" name="Measures" uniqueName="[Measures]" caption="Measures"/>
    <dimension name="Product" uniqueName="[Product]" caption="Product"/>
  </dimensions>
  <measureGroups count="4">
    <measureGroup name="Downtime_Factors" caption="Downtime_Factors"/>
    <measureGroup name="Line_Downtime" caption="Line_Downtime"/>
    <measureGroup name="Line_Productivity" caption="Line_Productivity"/>
    <measureGroup name="Product" caption="Product"/>
  </measureGroups>
  <maps count="8">
    <map measureGroup="0" dimension="0"/>
    <map measureGroup="1" dimension="0"/>
    <map measureGroup="1" dimension="1"/>
    <map measureGroup="1" dimension="2"/>
    <map measureGroup="1" dimension="4"/>
    <map measureGroup="2" dimension="2"/>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995.330198611111" backgroundQuery="1" createdVersion="8" refreshedVersion="8" minRefreshableVersion="3" recordCount="0" supportSubquery="1" supportAdvancedDrill="1" xr:uid="{D9A13024-C510-45DC-ADFA-37C274A6EF7D}">
  <cacheSource type="external" connectionId="6"/>
  <cacheFields count="3">
    <cacheField name="[Downtime_Factors].[Operator Error].[Operator Error]" caption="Operator Error" numFmtId="0" hierarchy="2" level="1">
      <sharedItems count="2">
        <s v="No"/>
        <s v="Yes"/>
      </sharedItems>
    </cacheField>
    <cacheField name="[Measures].[Count of Batch]" caption="Count of Batch" numFmtId="0" hierarchy="46" level="32767"/>
    <cacheField name="[Line_Productivity].[Year].[Year]" caption="Year" numFmtId="0" hierarchy="9" level="1">
      <sharedItems containsSemiMixedTypes="0" containsNonDate="0" containsString="0"/>
    </cacheField>
  </cacheFields>
  <cacheHierarchies count="51">
    <cacheHierarchy uniqueName="[Downtime_Factors].[Factor]" caption="Factor" attribute="1" defaultMemberUniqueName="[Downtime_Factors].[Factor].[All]" allUniqueName="[Downtime_Factors].[Factor].[All]" dimensionUniqueName="[Downtime_Factors]" displayFolder="" count="0" memberValueDatatype="20" unbalanced="0"/>
    <cacheHierarchy uniqueName="[Downtime_Factors].[Description]" caption="Description" attribute="1" defaultMemberUniqueName="[Downtime_Factors].[Description].[All]" allUniqueName="[Downtime_Factors].[Description].[All]" dimensionUniqueName="[Downtime_Factors]" displayFolder="" count="0" memberValueDatatype="130" unbalanced="0"/>
    <cacheHierarchy uniqueName="[Downtime_Factors].[Operator Error]" caption="Operator Error" attribute="1" defaultMemberUniqueName="[Downtime_Factors].[Operator Error].[All]" allUniqueName="[Downtime_Factors].[Operator Error].[All]" dimensionUniqueName="[Downtime_Factors]" displayFolder="" count="2" memberValueDatatype="130" unbalanced="0">
      <fieldsUsage count="2">
        <fieldUsage x="-1"/>
        <fieldUsage x="0"/>
      </fieldsUsage>
    </cacheHierarchy>
    <cacheHierarchy uniqueName="[Line_Downtime].[Batch]" caption="Batch" attribute="1" defaultMemberUniqueName="[Line_Downtime].[Batch].[All]" allUniqueName="[Line_Downtime].[Batch].[All]" dimensionUniqueName="[Line_Downtime]" displayFolder="" count="0" memberValueDatatype="130" unbalanced="0"/>
    <cacheHierarchy uniqueName="[Line_Downtime].[Factor]" caption="Factor" attribute="1" defaultMemberUniqueName="[Line_Downtime].[Factor].[All]" allUniqueName="[Line_Downtime].[Factor].[All]" dimensionUniqueName="[Line_Downtime]" displayFolder="" count="0" memberValueDatatype="130" unbalanced="0"/>
    <cacheHierarchy uniqueName="[Line_Downtime].[Downtime]" caption="Downtime" attribute="1" defaultMemberUniqueName="[Line_Downtime].[Downtime].[All]" allUniqueName="[Line_Downtime].[Downtime].[All]" dimensionUniqueName="[Line_Downtime]" displayFolder="" count="0" memberValueDatatype="5" unbalanced="0"/>
    <cacheHierarchy uniqueName="[Line_Productivity].[Date]" caption="Date" attribute="1" time="1" defaultMemberUniqueName="[Line_Productivity].[Date].[All]" allUniqueName="[Line_Productivity].[Date].[All]" dimensionUniqueName="[Line_Productivity]" displayFolder="" count="0" memberValueDatatype="7" unbalanced="0"/>
    <cacheHierarchy uniqueName="[Line_Productivity].[Month]" caption="Month" attribute="1" defaultMemberUniqueName="[Line_Productivity].[Month].[All]" allUniqueName="[Line_Productivity].[Month].[All]" dimensionUniqueName="[Line_Productivity]" displayFolder="" count="2" memberValueDatatype="130" unbalanced="0"/>
    <cacheHierarchy uniqueName="[Line_Productivity].[Day]" caption="Day" attribute="1" defaultMemberUniqueName="[Line_Productivity].[Day].[All]" allUniqueName="[Line_Productivity].[Day].[All]" dimensionUniqueName="[Line_Productivity]" displayFolder="" count="0" memberValueDatatype="130" unbalanced="0"/>
    <cacheHierarchy uniqueName="[Line_Productivity].[Year]" caption="Year" attribute="1" defaultMemberUniqueName="[Line_Productivity].[Year].[All]" allUniqueName="[Line_Productivity].[Year].[All]" dimensionUniqueName="[Line_Productivity]" displayFolder="" count="2" memberValueDatatype="130" unbalanced="0">
      <fieldsUsage count="2">
        <fieldUsage x="-1"/>
        <fieldUsage x="2"/>
      </fieldsUsage>
    </cacheHierarchy>
    <cacheHierarchy uniqueName="[Line_Productivity].[Product]" caption="Product" attribute="1" defaultMemberUniqueName="[Line_Productivity].[Product].[All]" allUniqueName="[Line_Productivity].[Product].[All]" dimensionUniqueName="[Line_Productivity]" displayFolder="" count="0" memberValueDatatype="130" unbalanced="0"/>
    <cacheHierarchy uniqueName="[Line_Productivity].[Batch]" caption="Batch" attribute="1" defaultMemberUniqueName="[Line_Productivity].[Batch].[All]" allUniqueName="[Line_Productivity].[Batch].[All]" dimensionUniqueName="[Line_Productivity]" displayFolder="" count="0" memberValueDatatype="130" unbalanced="0"/>
    <cacheHierarchy uniqueName="[Line_Productivity].[Operator]" caption="Operator" attribute="1" defaultMemberUniqueName="[Line_Productivity].[Operator].[All]" allUniqueName="[Line_Productivity].[Operator].[All]" dimensionUniqueName="[Line_Productivity]" displayFolder="" count="2" memberValueDatatype="130" unbalanced="0"/>
    <cacheHierarchy uniqueName="[Line_Productivity].[Start Time]" caption="Start Time" attribute="1" time="1" defaultMemberUniqueName="[Line_Productivity].[Start Time].[All]" allUniqueName="[Line_Productivity].[Start Time].[All]" dimensionUniqueName="[Line_Productivity]" displayFolder="" count="0" memberValueDatatype="7" unbalanced="0"/>
    <cacheHierarchy uniqueName="[Line_Productivity].[End Time]" caption="End Time" attribute="1" time="1" defaultMemberUniqueName="[Line_Productivity].[End Time].[All]" allUniqueName="[Line_Productivity].[End Time].[All]" dimensionUniqueName="[Line_Productivity]" displayFolder="" count="0" memberValueDatatype="7" unbalanced="0"/>
    <cacheHierarchy uniqueName="[Line_Productivity].[Worked Hours]" caption="Worked Hours" attribute="1" defaultMemberUniqueName="[Line_Productivity].[Worked Hours].[All]" allUniqueName="[Line_Productivity].[Worked Hours].[All]" dimensionUniqueName="[Line_Productivity]" displayFolder="" count="0" memberValueDatatype="5" unbalanced="0"/>
    <cacheHierarchy uniqueName="[Line_Productivity].[Min Batch Time]" caption="Min Batch Time" attribute="1" defaultMemberUniqueName="[Line_Productivity].[Min Batch Time].[All]" allUniqueName="[Line_Productivity].[Min Batch Time].[All]" dimensionUniqueName="[Line_Productivity]" displayFolder="" count="0" memberValueDatatype="5" unbalanced="0"/>
    <cacheHierarchy uniqueName="[Line_Productivity].[Date (Month)]" caption="Date (Month)" attribute="1" defaultMemberUniqueName="[Line_Productivity].[Date (Month)].[All]" allUniqueName="[Line_Productivity].[Date (Month)].[All]" dimensionUniqueName="[Line_Productivity]" displayFolder="" count="0" memberValueDatatype="130" unbalanced="0"/>
    <cacheHierarchy uniqueName="[Product].[Product]" caption="Product" attribute="1" defaultMemberUniqueName="[Product].[Product].[All]" allUniqueName="[Product].[Product].[All]" dimensionUniqueName="[Product]" displayFolder="" count="0" memberValueDatatype="130" unbalanced="0"/>
    <cacheHierarchy uniqueName="[Product].[Flavor]" caption="Flavor" attribute="1" defaultMemberUniqueName="[Product].[Flavor].[All]" allUniqueName="[Product].[Flavor].[All]" dimensionUniqueName="[Product]" displayFolder="" count="0" memberValueDatatype="130" unbalanced="0"/>
    <cacheHierarchy uniqueName="[Product].[Size]" caption="Size" attribute="1" defaultMemberUniqueName="[Product].[Size].[All]" allUniqueName="[Product].[Size].[All]" dimensionUniqueName="[Product]" displayFolder="" count="0" memberValueDatatype="130" unbalanced="0"/>
    <cacheHierarchy uniqueName="[Product].[Min batch time]" caption="Min batch time" attribute="1" defaultMemberUniqueName="[Product].[Min batch time].[All]" allUniqueName="[Product].[Min batch time].[All]" dimensionUniqueName="[Product]" displayFolder="" count="0" memberValueDatatype="5" unbalanced="0"/>
    <cacheHierarchy uniqueName="[Line_Productivity].[Date (Month Index)]" caption="Date (Month Index)" attribute="1" defaultMemberUniqueName="[Line_Productivity].[Date (Month Index)].[All]" allUniqueName="[Line_Productivity].[Date (Month Index)].[All]" dimensionUniqueName="[Line_Productivity]" displayFolder="" count="0" memberValueDatatype="20" unbalanced="0" hidden="1"/>
    <cacheHierarchy uniqueName="[Measures].[Total Worked Hours]" caption="Total Worked Hours" measure="1" displayFolder="" measureGroup="Line_Productivity" count="0"/>
    <cacheHierarchy uniqueName="[Measures].[Total Min Batch Time]" caption="Total Min Batch Time" measure="1" displayFolder="" measureGroup="Line_Productivity" count="0"/>
    <cacheHierarchy uniqueName="[Measures].[Line Eff %]" caption="Line Eff %" measure="1" displayFolder="" measureGroup="Line_Productivity" count="0"/>
    <cacheHierarchy uniqueName="[Measures].[Total Downtime]" caption="Total Downtime" measure="1" displayFolder="" measureGroup="Line_Productivity" count="0"/>
    <cacheHierarchy uniqueName="[Measures].[Line ineff %]" caption="Line ineff %" measure="1" displayFolder="" measureGroup="Line_Productivity" count="0"/>
    <cacheHierarchy uniqueName="[Measures].[DOWNTIME RATIO]" caption="DOWNTIME RATIO" measure="1" displayFolder="" measureGroup="Line_Productivity" count="0"/>
    <cacheHierarchy uniqueName="[Measures].[STANDARD TIME RATIO]" caption="STANDARD TIME RATIO" measure="1" displayFolder="" measureGroup="Line_Productivity" count="0"/>
    <cacheHierarchy uniqueName="[Measures].[Total Batch Count]" caption="Total Batch Count" measure="1" displayFolder="" measureGroup="Line_Productivity" count="0"/>
    <cacheHierarchy uniqueName="[Measures].[AVE BATCH DOWNTIME]" caption="AVE BATCH DOWNTIME" measure="1" displayFolder="" measureGroup="Line_Productivity" count="0"/>
    <cacheHierarchy uniqueName="[Measures].[RATIO]" caption="RATIO" measure="1" displayFolder="" measureGroup="Line_Productivity" count="0"/>
    <cacheHierarchy uniqueName="[Measures].[ STANDARD TIME RATIO]" caption=" STANDARD TIME RATIO" measure="1" displayFolder="" measureGroup="Line_Productivity" count="0"/>
    <cacheHierarchy uniqueName="[Measures].[__XL_Count Product]" caption="__XL_Count Product" measure="1" displayFolder="" measureGroup="Product" count="0" hidden="1"/>
    <cacheHierarchy uniqueName="[Measures].[__XL_Count Downtime_Factors]" caption="__XL_Count Downtime_Factors" measure="1" displayFolder="" measureGroup="Downtime_Factors" count="0" hidden="1"/>
    <cacheHierarchy uniqueName="[Measures].[__XL_Count Line_Downtime]" caption="__XL_Count Line_Downtime" measure="1" displayFolder="" measureGroup="Line_Downtime" count="0" hidden="1"/>
    <cacheHierarchy uniqueName="[Measures].[__XL_Count Line_Productivity]" caption="__XL_Count Line_Productivity" measure="1" displayFolder="" measureGroup="Line_Productivity" count="0" hidden="1"/>
    <cacheHierarchy uniqueName="[Measures].[__No measures defined]" caption="__No measures defined" measure="1" displayFolder="" count="0" hidden="1"/>
    <cacheHierarchy uniqueName="[Measures].[Sum of Min batch time]" caption="Sum of Min batch time" measure="1" displayFolder="" measureGroup="Product" count="0" hidden="1">
      <extLst>
        <ext xmlns:x15="http://schemas.microsoft.com/office/spreadsheetml/2010/11/main" uri="{B97F6D7D-B522-45F9-BDA1-12C45D357490}">
          <x15:cacheHierarchy aggregatedColumn="21"/>
        </ext>
      </extLst>
    </cacheHierarchy>
    <cacheHierarchy uniqueName="[Measures].[Sum of Min Batch Time 2]" caption="Sum of Min Batch Time 2" measure="1" displayFolder="" measureGroup="Line_Productivity" count="0" hidden="1">
      <extLst>
        <ext xmlns:x15="http://schemas.microsoft.com/office/spreadsheetml/2010/11/main" uri="{B97F6D7D-B522-45F9-BDA1-12C45D357490}">
          <x15:cacheHierarchy aggregatedColumn="16"/>
        </ext>
      </extLst>
    </cacheHierarchy>
    <cacheHierarchy uniqueName="[Measures].[Sum of Worked Hours]" caption="Sum of Worked Hours" measure="1" displayFolder="" measureGroup="Line_Productivity" count="0" hidden="1">
      <extLst>
        <ext xmlns:x15="http://schemas.microsoft.com/office/spreadsheetml/2010/11/main" uri="{B97F6D7D-B522-45F9-BDA1-12C45D357490}">
          <x15:cacheHierarchy aggregatedColumn="15"/>
        </ext>
      </extLst>
    </cacheHierarchy>
    <cacheHierarchy uniqueName="[Measures].[Sum of Downtime]" caption="Sum of Downtime" measure="1" displayFolder="" measureGroup="Line_Downtime" count="0" hidden="1">
      <extLst>
        <ext xmlns:x15="http://schemas.microsoft.com/office/spreadsheetml/2010/11/main" uri="{B97F6D7D-B522-45F9-BDA1-12C45D357490}">
          <x15:cacheHierarchy aggregatedColumn="5"/>
        </ext>
      </extLst>
    </cacheHierarchy>
    <cacheHierarchy uniqueName="[Measures].[Count of Description]" caption="Count of Description" measure="1" displayFolder="" measureGroup="Downtime_Factors" count="0" hidden="1">
      <extLst>
        <ext xmlns:x15="http://schemas.microsoft.com/office/spreadsheetml/2010/11/main" uri="{B97F6D7D-B522-45F9-BDA1-12C45D357490}">
          <x15:cacheHierarchy aggregatedColumn="1"/>
        </ext>
      </extLst>
    </cacheHierarchy>
    <cacheHierarchy uniqueName="[Measures].[Count of Operator Error]" caption="Count of Operator Error" measure="1" displayFolder="" measureGroup="Downtime_Factors" count="0" hidden="1">
      <extLst>
        <ext xmlns:x15="http://schemas.microsoft.com/office/spreadsheetml/2010/11/main" uri="{B97F6D7D-B522-45F9-BDA1-12C45D357490}">
          <x15:cacheHierarchy aggregatedColumn="2"/>
        </ext>
      </extLst>
    </cacheHierarchy>
    <cacheHierarchy uniqueName="[Measures].[Count of Factor]" caption="Count of Factor" measure="1" displayFolder="" measureGroup="Line_Downtime" count="0" hidden="1">
      <extLst>
        <ext xmlns:x15="http://schemas.microsoft.com/office/spreadsheetml/2010/11/main" uri="{B97F6D7D-B522-45F9-BDA1-12C45D357490}">
          <x15:cacheHierarchy aggregatedColumn="4"/>
        </ext>
      </extLst>
    </cacheHierarchy>
    <cacheHierarchy uniqueName="[Measures].[Count of Batch]" caption="Count of Batch" measure="1" displayFolder="" measureGroup="Line_Productivity" count="0" oneField="1" hidden="1">
      <fieldsUsage count="1">
        <fieldUsage x="1"/>
      </fieldsUsage>
      <extLst>
        <ext xmlns:x15="http://schemas.microsoft.com/office/spreadsheetml/2010/11/main" uri="{B97F6D7D-B522-45F9-BDA1-12C45D357490}">
          <x15:cacheHierarchy aggregatedColumn="11"/>
        </ext>
      </extLst>
    </cacheHierarchy>
    <cacheHierarchy uniqueName="[Measures].[Count of Batch 2]" caption="Count of Batch 2" measure="1" displayFolder="" measureGroup="Line_Downtime" count="0" hidden="1">
      <extLst>
        <ext xmlns:x15="http://schemas.microsoft.com/office/spreadsheetml/2010/11/main" uri="{B97F6D7D-B522-45F9-BDA1-12C45D357490}">
          <x15:cacheHierarchy aggregatedColumn="3"/>
        </ext>
      </extLst>
    </cacheHierarchy>
    <cacheHierarchy uniqueName="[Measures].[Count of Product]" caption="Count of Product" measure="1" displayFolder="" measureGroup="Line_Productivity" count="0" hidden="1">
      <extLst>
        <ext xmlns:x15="http://schemas.microsoft.com/office/spreadsheetml/2010/11/main" uri="{B97F6D7D-B522-45F9-BDA1-12C45D357490}">
          <x15:cacheHierarchy aggregatedColumn="10"/>
        </ext>
      </extLst>
    </cacheHierarchy>
    <cacheHierarchy uniqueName="[Measures].[Sum of Factor]" caption="Sum of Factor" measure="1" displayFolder="" measureGroup="Downtime_Factors" count="0" hidden="1">
      <extLst>
        <ext xmlns:x15="http://schemas.microsoft.com/office/spreadsheetml/2010/11/main" uri="{B97F6D7D-B522-45F9-BDA1-12C45D357490}">
          <x15:cacheHierarchy aggregatedColumn="0"/>
        </ext>
      </extLst>
    </cacheHierarchy>
    <cacheHierarchy uniqueName="[Measures].[Count of Downtime]" caption="Count of Downtime" measure="1" displayFolder="" measureGroup="Line_Downtime" count="0" hidden="1">
      <extLst>
        <ext xmlns:x15="http://schemas.microsoft.com/office/spreadsheetml/2010/11/main" uri="{B97F6D7D-B522-45F9-BDA1-12C45D357490}">
          <x15:cacheHierarchy aggregatedColumn="5"/>
        </ext>
      </extLst>
    </cacheHierarchy>
  </cacheHierarchies>
  <kpis count="0"/>
  <dimensions count="5">
    <dimension name="Downtime_Factors" uniqueName="[Downtime_Factors]" caption="Downtime_Factors"/>
    <dimension name="Line_Downtime" uniqueName="[Line_Downtime]" caption="Line_Downtime"/>
    <dimension name="Line_Productivity" uniqueName="[Line_Productivity]" caption="Line_Productivity"/>
    <dimension measure="1" name="Measures" uniqueName="[Measures]" caption="Measures"/>
    <dimension name="Product" uniqueName="[Product]" caption="Product"/>
  </dimensions>
  <measureGroups count="4">
    <measureGroup name="Downtime_Factors" caption="Downtime_Factors"/>
    <measureGroup name="Line_Downtime" caption="Line_Downtime"/>
    <measureGroup name="Line_Productivity" caption="Line_Productivity"/>
    <measureGroup name="Product" caption="Product"/>
  </measureGroups>
  <maps count="8">
    <map measureGroup="0" dimension="0"/>
    <map measureGroup="1" dimension="0"/>
    <map measureGroup="1" dimension="1"/>
    <map measureGroup="1" dimension="2"/>
    <map measureGroup="1" dimension="4"/>
    <map measureGroup="2" dimension="2"/>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995.330199537035" backgroundQuery="1" createdVersion="8" refreshedVersion="8" minRefreshableVersion="3" recordCount="0" supportSubquery="1" supportAdvancedDrill="1" xr:uid="{83ADAFFE-DB15-4A9D-B6D9-DC7086064E31}">
  <cacheSource type="external" connectionId="6"/>
  <cacheFields count="5">
    <cacheField name="[Downtime_Factors].[Operator Error].[Operator Error]" caption="Operator Error" numFmtId="0" hierarchy="2" level="1">
      <sharedItems count="2">
        <s v="No"/>
        <s v="Yes"/>
      </sharedItems>
    </cacheField>
    <cacheField name="[Line_Productivity].[Date].[Date]" caption="Date" numFmtId="0" hierarchy="6" level="1">
      <sharedItems containsSemiMixedTypes="0" containsNonDate="0" containsDate="1" containsString="0" minDate="2024-08-29T00:00:00" maxDate="2024-09-04T00:00:00" count="5">
        <d v="2024-08-29T00:00:00"/>
        <d v="2024-08-30T00:00:00"/>
        <d v="2024-08-31T00:00:00"/>
        <d v="2024-09-02T00:00:00"/>
        <d v="2024-09-03T00:00:00"/>
      </sharedItems>
    </cacheField>
    <cacheField name="[Measures].[Total Downtime]" caption="Total Downtime" numFmtId="0" hierarchy="26" level="32767"/>
    <cacheField name="[Line_Productivity].[Year].[Year]" caption="Year" numFmtId="0" hierarchy="9" level="1">
      <sharedItems containsSemiMixedTypes="0" containsNonDate="0" containsString="0"/>
    </cacheField>
    <cacheField name="Unsupported0" numFmtId="0" hierarchy="51" level="32767">
      <extLst>
        <ext xmlns:x14="http://schemas.microsoft.com/office/spreadsheetml/2009/9/main" uri="{63CAB8AC-B538-458d-9737-405883B0398D}">
          <x14:cacheField ignore="1"/>
        </ext>
      </extLst>
    </cacheField>
  </cacheFields>
  <cacheHierarchies count="52">
    <cacheHierarchy uniqueName="[Downtime_Factors].[Factor]" caption="Factor" attribute="1" defaultMemberUniqueName="[Downtime_Factors].[Factor].[All]" allUniqueName="[Downtime_Factors].[Factor].[All]" dimensionUniqueName="[Downtime_Factors]" displayFolder="" count="0" memberValueDatatype="20" unbalanced="0"/>
    <cacheHierarchy uniqueName="[Downtime_Factors].[Description]" caption="Description" attribute="1" defaultMemberUniqueName="[Downtime_Factors].[Description].[All]" allUniqueName="[Downtime_Factors].[Description].[All]" dimensionUniqueName="[Downtime_Factors]" displayFolder="" count="0" memberValueDatatype="130" unbalanced="0"/>
    <cacheHierarchy uniqueName="[Downtime_Factors].[Operator Error]" caption="Operator Error" attribute="1" defaultMemberUniqueName="[Downtime_Factors].[Operator Error].[All]" allUniqueName="[Downtime_Factors].[Operator Error].[All]" dimensionUniqueName="[Downtime_Factors]" displayFolder="" count="2" memberValueDatatype="130" unbalanced="0">
      <fieldsUsage count="2">
        <fieldUsage x="-1"/>
        <fieldUsage x="0"/>
      </fieldsUsage>
    </cacheHierarchy>
    <cacheHierarchy uniqueName="[Line_Downtime].[Batch]" caption="Batch" attribute="1" defaultMemberUniqueName="[Line_Downtime].[Batch].[All]" allUniqueName="[Line_Downtime].[Batch].[All]" dimensionUniqueName="[Line_Downtime]" displayFolder="" count="0" memberValueDatatype="130" unbalanced="0"/>
    <cacheHierarchy uniqueName="[Line_Downtime].[Factor]" caption="Factor" attribute="1" defaultMemberUniqueName="[Line_Downtime].[Factor].[All]" allUniqueName="[Line_Downtime].[Factor].[All]" dimensionUniqueName="[Line_Downtime]" displayFolder="" count="0" memberValueDatatype="130" unbalanced="0"/>
    <cacheHierarchy uniqueName="[Line_Downtime].[Downtime]" caption="Downtime" attribute="1" defaultMemberUniqueName="[Line_Downtime].[Downtime].[All]" allUniqueName="[Line_Downtime].[Downtime].[All]" dimensionUniqueName="[Line_Downtime]" displayFolder="" count="0" memberValueDatatype="5" unbalanced="0"/>
    <cacheHierarchy uniqueName="[Line_Productivity].[Date]" caption="Date" attribute="1" time="1" defaultMemberUniqueName="[Line_Productivity].[Date].[All]" allUniqueName="[Line_Productivity].[Date].[All]" dimensionUniqueName="[Line_Productivity]" displayFolder="" count="2" memberValueDatatype="7" unbalanced="0">
      <fieldsUsage count="2">
        <fieldUsage x="-1"/>
        <fieldUsage x="1"/>
      </fieldsUsage>
    </cacheHierarchy>
    <cacheHierarchy uniqueName="[Line_Productivity].[Month]" caption="Month" attribute="1" defaultMemberUniqueName="[Line_Productivity].[Month].[All]" allUniqueName="[Line_Productivity].[Month].[All]" dimensionUniqueName="[Line_Productivity]" displayFolder="" count="2" memberValueDatatype="130" unbalanced="0"/>
    <cacheHierarchy uniqueName="[Line_Productivity].[Day]" caption="Day" attribute="1" defaultMemberUniqueName="[Line_Productivity].[Day].[All]" allUniqueName="[Line_Productivity].[Day].[All]" dimensionUniqueName="[Line_Productivity]" displayFolder="" count="0" memberValueDatatype="130" unbalanced="0"/>
    <cacheHierarchy uniqueName="[Line_Productivity].[Year]" caption="Year" attribute="1" defaultMemberUniqueName="[Line_Productivity].[Year].[All]" allUniqueName="[Line_Productivity].[Year].[All]" dimensionUniqueName="[Line_Productivity]" displayFolder="" count="2" memberValueDatatype="130" unbalanced="0">
      <fieldsUsage count="2">
        <fieldUsage x="-1"/>
        <fieldUsage x="3"/>
      </fieldsUsage>
    </cacheHierarchy>
    <cacheHierarchy uniqueName="[Line_Productivity].[Product]" caption="Product" attribute="1" defaultMemberUniqueName="[Line_Productivity].[Product].[All]" allUniqueName="[Line_Productivity].[Product].[All]" dimensionUniqueName="[Line_Productivity]" displayFolder="" count="0" memberValueDatatype="130" unbalanced="0"/>
    <cacheHierarchy uniqueName="[Line_Productivity].[Batch]" caption="Batch" attribute="1" defaultMemberUniqueName="[Line_Productivity].[Batch].[All]" allUniqueName="[Line_Productivity].[Batch].[All]" dimensionUniqueName="[Line_Productivity]" displayFolder="" count="0" memberValueDatatype="130" unbalanced="0"/>
    <cacheHierarchy uniqueName="[Line_Productivity].[Operator]" caption="Operator" attribute="1" defaultMemberUniqueName="[Line_Productivity].[Operator].[All]" allUniqueName="[Line_Productivity].[Operator].[All]" dimensionUniqueName="[Line_Productivity]" displayFolder="" count="2" memberValueDatatype="130" unbalanced="0"/>
    <cacheHierarchy uniqueName="[Line_Productivity].[Start Time]" caption="Start Time" attribute="1" time="1" defaultMemberUniqueName="[Line_Productivity].[Start Time].[All]" allUniqueName="[Line_Productivity].[Start Time].[All]" dimensionUniqueName="[Line_Productivity]" displayFolder="" count="0" memberValueDatatype="7" unbalanced="0"/>
    <cacheHierarchy uniqueName="[Line_Productivity].[End Time]" caption="End Time" attribute="1" time="1" defaultMemberUniqueName="[Line_Productivity].[End Time].[All]" allUniqueName="[Line_Productivity].[End Time].[All]" dimensionUniqueName="[Line_Productivity]" displayFolder="" count="0" memberValueDatatype="7" unbalanced="0"/>
    <cacheHierarchy uniqueName="[Line_Productivity].[Worked Hours]" caption="Worked Hours" attribute="1" defaultMemberUniqueName="[Line_Productivity].[Worked Hours].[All]" allUniqueName="[Line_Productivity].[Worked Hours].[All]" dimensionUniqueName="[Line_Productivity]" displayFolder="" count="0" memberValueDatatype="5" unbalanced="0"/>
    <cacheHierarchy uniqueName="[Line_Productivity].[Min Batch Time]" caption="Min Batch Time" attribute="1" defaultMemberUniqueName="[Line_Productivity].[Min Batch Time].[All]" allUniqueName="[Line_Productivity].[Min Batch Time].[All]" dimensionUniqueName="[Line_Productivity]" displayFolder="" count="0" memberValueDatatype="5" unbalanced="0"/>
    <cacheHierarchy uniqueName="[Line_Productivity].[Date (Month)]" caption="Date (Month)" attribute="1" defaultMemberUniqueName="[Line_Productivity].[Date (Month)].[All]" allUniqueName="[Line_Productivity].[Date (Month)].[All]" dimensionUniqueName="[Line_Productivity]" displayFolder="" count="0" memberValueDatatype="130" unbalanced="0"/>
    <cacheHierarchy uniqueName="[Product].[Product]" caption="Product" attribute="1" defaultMemberUniqueName="[Product].[Product].[All]" allUniqueName="[Product].[Product].[All]" dimensionUniqueName="[Product]" displayFolder="" count="0" memberValueDatatype="130" unbalanced="0"/>
    <cacheHierarchy uniqueName="[Product].[Flavor]" caption="Flavor" attribute="1" defaultMemberUniqueName="[Product].[Flavor].[All]" allUniqueName="[Product].[Flavor].[All]" dimensionUniqueName="[Product]" displayFolder="" count="0" memberValueDatatype="130" unbalanced="0"/>
    <cacheHierarchy uniqueName="[Product].[Size]" caption="Size" attribute="1" defaultMemberUniqueName="[Product].[Size].[All]" allUniqueName="[Product].[Size].[All]" dimensionUniqueName="[Product]" displayFolder="" count="0" memberValueDatatype="130" unbalanced="0"/>
    <cacheHierarchy uniqueName="[Product].[Min batch time]" caption="Min batch time" attribute="1" defaultMemberUniqueName="[Product].[Min batch time].[All]" allUniqueName="[Product].[Min batch time].[All]" dimensionUniqueName="[Product]" displayFolder="" count="0" memberValueDatatype="5" unbalanced="0"/>
    <cacheHierarchy uniqueName="[Line_Productivity].[Date (Month Index)]" caption="Date (Month Index)" attribute="1" defaultMemberUniqueName="[Line_Productivity].[Date (Month Index)].[All]" allUniqueName="[Line_Productivity].[Date (Month Index)].[All]" dimensionUniqueName="[Line_Productivity]" displayFolder="" count="0" memberValueDatatype="20" unbalanced="0" hidden="1"/>
    <cacheHierarchy uniqueName="[Measures].[Total Worked Hours]" caption="Total Worked Hours" measure="1" displayFolder="" measureGroup="Line_Productivity" count="0"/>
    <cacheHierarchy uniqueName="[Measures].[Total Min Batch Time]" caption="Total Min Batch Time" measure="1" displayFolder="" measureGroup="Line_Productivity" count="0"/>
    <cacheHierarchy uniqueName="[Measures].[Line Eff %]" caption="Line Eff %" measure="1" displayFolder="" measureGroup="Line_Productivity" count="0"/>
    <cacheHierarchy uniqueName="[Measures].[Total Downtime]" caption="Total Downtime" measure="1" displayFolder="" measureGroup="Line_Productivity" count="0" oneField="1">
      <fieldsUsage count="1">
        <fieldUsage x="2"/>
      </fieldsUsage>
    </cacheHierarchy>
    <cacheHierarchy uniqueName="[Measures].[Line ineff %]" caption="Line ineff %" measure="1" displayFolder="" measureGroup="Line_Productivity" count="0"/>
    <cacheHierarchy uniqueName="[Measures].[DOWNTIME RATIO]" caption="DOWNTIME RATIO" measure="1" displayFolder="" measureGroup="Line_Productivity" count="0"/>
    <cacheHierarchy uniqueName="[Measures].[STANDARD TIME RATIO]" caption="STANDARD TIME RATIO" measure="1" displayFolder="" measureGroup="Line_Productivity" count="0"/>
    <cacheHierarchy uniqueName="[Measures].[Total Batch Count]" caption="Total Batch Count" measure="1" displayFolder="" measureGroup="Line_Productivity" count="0"/>
    <cacheHierarchy uniqueName="[Measures].[AVE BATCH DOWNTIME]" caption="AVE BATCH DOWNTIME" measure="1" displayFolder="" measureGroup="Line_Productivity" count="0"/>
    <cacheHierarchy uniqueName="[Measures].[RATIO]" caption="RATIO" measure="1" displayFolder="" measureGroup="Line_Productivity" count="0"/>
    <cacheHierarchy uniqueName="[Measures].[ STANDARD TIME RATIO]" caption=" STANDARD TIME RATIO" measure="1" displayFolder="" measureGroup="Line_Productivity" count="0"/>
    <cacheHierarchy uniqueName="[Measures].[__XL_Count Product]" caption="__XL_Count Product" measure="1" displayFolder="" measureGroup="Product" count="0" hidden="1"/>
    <cacheHierarchy uniqueName="[Measures].[__XL_Count Downtime_Factors]" caption="__XL_Count Downtime_Factors" measure="1" displayFolder="" measureGroup="Downtime_Factors" count="0" hidden="1"/>
    <cacheHierarchy uniqueName="[Measures].[__XL_Count Line_Downtime]" caption="__XL_Count Line_Downtime" measure="1" displayFolder="" measureGroup="Line_Downtime" count="0" hidden="1"/>
    <cacheHierarchy uniqueName="[Measures].[__XL_Count Line_Productivity]" caption="__XL_Count Line_Productivity" measure="1" displayFolder="" measureGroup="Line_Productivity" count="0" hidden="1"/>
    <cacheHierarchy uniqueName="[Measures].[__No measures defined]" caption="__No measures defined" measure="1" displayFolder="" count="0" hidden="1"/>
    <cacheHierarchy uniqueName="[Measures].[Sum of Min batch time]" caption="Sum of Min batch time" measure="1" displayFolder="" measureGroup="Product" count="0" hidden="1">
      <extLst>
        <ext xmlns:x15="http://schemas.microsoft.com/office/spreadsheetml/2010/11/main" uri="{B97F6D7D-B522-45F9-BDA1-12C45D357490}">
          <x15:cacheHierarchy aggregatedColumn="21"/>
        </ext>
      </extLst>
    </cacheHierarchy>
    <cacheHierarchy uniqueName="[Measures].[Sum of Min Batch Time 2]" caption="Sum of Min Batch Time 2" measure="1" displayFolder="" measureGroup="Line_Productivity" count="0" hidden="1">
      <extLst>
        <ext xmlns:x15="http://schemas.microsoft.com/office/spreadsheetml/2010/11/main" uri="{B97F6D7D-B522-45F9-BDA1-12C45D357490}">
          <x15:cacheHierarchy aggregatedColumn="16"/>
        </ext>
      </extLst>
    </cacheHierarchy>
    <cacheHierarchy uniqueName="[Measures].[Sum of Worked Hours]" caption="Sum of Worked Hours" measure="1" displayFolder="" measureGroup="Line_Productivity" count="0" hidden="1">
      <extLst>
        <ext xmlns:x15="http://schemas.microsoft.com/office/spreadsheetml/2010/11/main" uri="{B97F6D7D-B522-45F9-BDA1-12C45D357490}">
          <x15:cacheHierarchy aggregatedColumn="15"/>
        </ext>
      </extLst>
    </cacheHierarchy>
    <cacheHierarchy uniqueName="[Measures].[Sum of Downtime]" caption="Sum of Downtime" measure="1" displayFolder="" measureGroup="Line_Downtime" count="0" hidden="1">
      <extLst>
        <ext xmlns:x15="http://schemas.microsoft.com/office/spreadsheetml/2010/11/main" uri="{B97F6D7D-B522-45F9-BDA1-12C45D357490}">
          <x15:cacheHierarchy aggregatedColumn="5"/>
        </ext>
      </extLst>
    </cacheHierarchy>
    <cacheHierarchy uniqueName="[Measures].[Count of Description]" caption="Count of Description" measure="1" displayFolder="" measureGroup="Downtime_Factors" count="0" hidden="1">
      <extLst>
        <ext xmlns:x15="http://schemas.microsoft.com/office/spreadsheetml/2010/11/main" uri="{B97F6D7D-B522-45F9-BDA1-12C45D357490}">
          <x15:cacheHierarchy aggregatedColumn="1"/>
        </ext>
      </extLst>
    </cacheHierarchy>
    <cacheHierarchy uniqueName="[Measures].[Count of Operator Error]" caption="Count of Operator Error" measure="1" displayFolder="" measureGroup="Downtime_Factors" count="0" hidden="1">
      <extLst>
        <ext xmlns:x15="http://schemas.microsoft.com/office/spreadsheetml/2010/11/main" uri="{B97F6D7D-B522-45F9-BDA1-12C45D357490}">
          <x15:cacheHierarchy aggregatedColumn="2"/>
        </ext>
      </extLst>
    </cacheHierarchy>
    <cacheHierarchy uniqueName="[Measures].[Count of Factor]" caption="Count of Factor" measure="1" displayFolder="" measureGroup="Line_Downtime" count="0" hidden="1">
      <extLst>
        <ext xmlns:x15="http://schemas.microsoft.com/office/spreadsheetml/2010/11/main" uri="{B97F6D7D-B522-45F9-BDA1-12C45D357490}">
          <x15:cacheHierarchy aggregatedColumn="4"/>
        </ext>
      </extLst>
    </cacheHierarchy>
    <cacheHierarchy uniqueName="[Measures].[Count of Batch]" caption="Count of Batch" measure="1" displayFolder="" measureGroup="Line_Productivity" count="0" hidden="1">
      <extLst>
        <ext xmlns:x15="http://schemas.microsoft.com/office/spreadsheetml/2010/11/main" uri="{B97F6D7D-B522-45F9-BDA1-12C45D357490}">
          <x15:cacheHierarchy aggregatedColumn="11"/>
        </ext>
      </extLst>
    </cacheHierarchy>
    <cacheHierarchy uniqueName="[Measures].[Count of Batch 2]" caption="Count of Batch 2" measure="1" displayFolder="" measureGroup="Line_Downtime" count="0" hidden="1">
      <extLst>
        <ext xmlns:x15="http://schemas.microsoft.com/office/spreadsheetml/2010/11/main" uri="{B97F6D7D-B522-45F9-BDA1-12C45D357490}">
          <x15:cacheHierarchy aggregatedColumn="3"/>
        </ext>
      </extLst>
    </cacheHierarchy>
    <cacheHierarchy uniqueName="[Measures].[Count of Product]" caption="Count of Product" measure="1" displayFolder="" measureGroup="Line_Productivity" count="0" hidden="1">
      <extLst>
        <ext xmlns:x15="http://schemas.microsoft.com/office/spreadsheetml/2010/11/main" uri="{B97F6D7D-B522-45F9-BDA1-12C45D357490}">
          <x15:cacheHierarchy aggregatedColumn="10"/>
        </ext>
      </extLst>
    </cacheHierarchy>
    <cacheHierarchy uniqueName="[Measures].[Sum of Factor]" caption="Sum of Factor" measure="1" displayFolder="" measureGroup="Downtime_Factors" count="0" hidden="1">
      <extLst>
        <ext xmlns:x15="http://schemas.microsoft.com/office/spreadsheetml/2010/11/main" uri="{B97F6D7D-B522-45F9-BDA1-12C45D357490}">
          <x15:cacheHierarchy aggregatedColumn="0"/>
        </ext>
      </extLst>
    </cacheHierarchy>
    <cacheHierarchy uniqueName="[Measures].[Count of Downtime]" caption="Count of Downtime" measure="1" displayFolder="" measureGroup="Line_Downtime" count="0" hidden="1">
      <extLst>
        <ext xmlns:x15="http://schemas.microsoft.com/office/spreadsheetml/2010/11/main" uri="{B97F6D7D-B522-45F9-BDA1-12C45D357490}">
          <x15:cacheHierarchy aggregatedColumn="5"/>
        </ext>
      </extLst>
    </cacheHierarchy>
    <cacheHierarchy uniqueName="Unsupported0" caption="Factor" measure="1" count="0">
      <extLst>
        <ext xmlns:x14="http://schemas.microsoft.com/office/spreadsheetml/2009/9/main" uri="{8CF416AD-EC4C-4aba-99F5-12A058AE0983}">
          <x14:cacheHierarchy ignore="1"/>
        </ext>
      </extLst>
    </cacheHierarchy>
  </cacheHierarchies>
  <kpis count="0"/>
  <dimensions count="5">
    <dimension name="Downtime_Factors" uniqueName="[Downtime_Factors]" caption="Downtime_Factors"/>
    <dimension name="Line_Downtime" uniqueName="[Line_Downtime]" caption="Line_Downtime"/>
    <dimension name="Line_Productivity" uniqueName="[Line_Productivity]" caption="Line_Productivity"/>
    <dimension measure="1" name="Measures" uniqueName="[Measures]" caption="Measures"/>
    <dimension name="Product" uniqueName="[Product]" caption="Product"/>
  </dimensions>
  <measureGroups count="4">
    <measureGroup name="Downtime_Factors" caption="Downtime_Factors"/>
    <measureGroup name="Line_Downtime" caption="Line_Downtime"/>
    <measureGroup name="Line_Productivity" caption="Line_Productivity"/>
    <measureGroup name="Product" caption="Product"/>
  </measureGroups>
  <maps count="8">
    <map measureGroup="0" dimension="0"/>
    <map measureGroup="1" dimension="0"/>
    <map measureGroup="1" dimension="1"/>
    <map measureGroup="1" dimension="2"/>
    <map measureGroup="1" dimension="4"/>
    <map measureGroup="2" dimension="2"/>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995.330200231481" backgroundQuery="1" createdVersion="8" refreshedVersion="8" minRefreshableVersion="3" recordCount="0" supportSubquery="1" supportAdvancedDrill="1" xr:uid="{7155E9BE-3F00-442B-A2C5-ED991AC105F0}">
  <cacheSource type="external" connectionId="6"/>
  <cacheFields count="5">
    <cacheField name="[Downtime_Factors].[Operator Error].[Operator Error]" caption="Operator Error" numFmtId="0" hierarchy="2" level="1">
      <sharedItems count="2">
        <s v="No"/>
        <s v="Yes"/>
      </sharedItems>
    </cacheField>
    <cacheField name="[Line_Productivity].[Date].[Date]" caption="Date" numFmtId="0" hierarchy="6" level="1">
      <sharedItems containsSemiMixedTypes="0" containsNonDate="0" containsDate="1" containsString="0" minDate="2024-08-29T00:00:00" maxDate="2024-09-04T00:00:00" count="5">
        <d v="2024-08-29T00:00:00"/>
        <d v="2024-08-30T00:00:00"/>
        <d v="2024-08-31T00:00:00"/>
        <d v="2024-09-02T00:00:00"/>
        <d v="2024-09-03T00:00:00"/>
      </sharedItems>
    </cacheField>
    <cacheField name="[Measures].[Count of Factor]" caption="Count of Factor" numFmtId="0" hierarchy="45" level="32767"/>
    <cacheField name="[Line_Productivity].[Year].[Year]" caption="Year" numFmtId="0" hierarchy="9" level="1">
      <sharedItems containsSemiMixedTypes="0" containsNonDate="0" containsString="0"/>
    </cacheField>
    <cacheField name="Unsupported0" numFmtId="0" hierarchy="51" level="32767">
      <extLst>
        <ext xmlns:x14="http://schemas.microsoft.com/office/spreadsheetml/2009/9/main" uri="{63CAB8AC-B538-458d-9737-405883B0398D}">
          <x14:cacheField ignore="1"/>
        </ext>
      </extLst>
    </cacheField>
  </cacheFields>
  <cacheHierarchies count="52">
    <cacheHierarchy uniqueName="[Downtime_Factors].[Factor]" caption="Factor" attribute="1" defaultMemberUniqueName="[Downtime_Factors].[Factor].[All]" allUniqueName="[Downtime_Factors].[Factor].[All]" dimensionUniqueName="[Downtime_Factors]" displayFolder="" count="0" memberValueDatatype="20" unbalanced="0"/>
    <cacheHierarchy uniqueName="[Downtime_Factors].[Description]" caption="Description" attribute="1" defaultMemberUniqueName="[Downtime_Factors].[Description].[All]" allUniqueName="[Downtime_Factors].[Description].[All]" dimensionUniqueName="[Downtime_Factors]" displayFolder="" count="0" memberValueDatatype="130" unbalanced="0"/>
    <cacheHierarchy uniqueName="[Downtime_Factors].[Operator Error]" caption="Operator Error" attribute="1" defaultMemberUniqueName="[Downtime_Factors].[Operator Error].[All]" allUniqueName="[Downtime_Factors].[Operator Error].[All]" dimensionUniqueName="[Downtime_Factors]" displayFolder="" count="2" memberValueDatatype="130" unbalanced="0">
      <fieldsUsage count="2">
        <fieldUsage x="-1"/>
        <fieldUsage x="0"/>
      </fieldsUsage>
    </cacheHierarchy>
    <cacheHierarchy uniqueName="[Line_Downtime].[Batch]" caption="Batch" attribute="1" defaultMemberUniqueName="[Line_Downtime].[Batch].[All]" allUniqueName="[Line_Downtime].[Batch].[All]" dimensionUniqueName="[Line_Downtime]" displayFolder="" count="0" memberValueDatatype="130" unbalanced="0"/>
    <cacheHierarchy uniqueName="[Line_Downtime].[Factor]" caption="Factor" attribute="1" defaultMemberUniqueName="[Line_Downtime].[Factor].[All]" allUniqueName="[Line_Downtime].[Factor].[All]" dimensionUniqueName="[Line_Downtime]" displayFolder="" count="0" memberValueDatatype="130" unbalanced="0"/>
    <cacheHierarchy uniqueName="[Line_Downtime].[Downtime]" caption="Downtime" attribute="1" defaultMemberUniqueName="[Line_Downtime].[Downtime].[All]" allUniqueName="[Line_Downtime].[Downtime].[All]" dimensionUniqueName="[Line_Downtime]" displayFolder="" count="0" memberValueDatatype="5" unbalanced="0"/>
    <cacheHierarchy uniqueName="[Line_Productivity].[Date]" caption="Date" attribute="1" time="1" defaultMemberUniqueName="[Line_Productivity].[Date].[All]" allUniqueName="[Line_Productivity].[Date].[All]" dimensionUniqueName="[Line_Productivity]" displayFolder="" count="2" memberValueDatatype="7" unbalanced="0">
      <fieldsUsage count="2">
        <fieldUsage x="-1"/>
        <fieldUsage x="1"/>
      </fieldsUsage>
    </cacheHierarchy>
    <cacheHierarchy uniqueName="[Line_Productivity].[Month]" caption="Month" attribute="1" defaultMemberUniqueName="[Line_Productivity].[Month].[All]" allUniqueName="[Line_Productivity].[Month].[All]" dimensionUniqueName="[Line_Productivity]" displayFolder="" count="2" memberValueDatatype="130" unbalanced="0"/>
    <cacheHierarchy uniqueName="[Line_Productivity].[Day]" caption="Day" attribute="1" defaultMemberUniqueName="[Line_Productivity].[Day].[All]" allUniqueName="[Line_Productivity].[Day].[All]" dimensionUniqueName="[Line_Productivity]" displayFolder="" count="0" memberValueDatatype="130" unbalanced="0"/>
    <cacheHierarchy uniqueName="[Line_Productivity].[Year]" caption="Year" attribute="1" defaultMemberUniqueName="[Line_Productivity].[Year].[All]" allUniqueName="[Line_Productivity].[Year].[All]" dimensionUniqueName="[Line_Productivity]" displayFolder="" count="2" memberValueDatatype="130" unbalanced="0">
      <fieldsUsage count="2">
        <fieldUsage x="-1"/>
        <fieldUsage x="3"/>
      </fieldsUsage>
    </cacheHierarchy>
    <cacheHierarchy uniqueName="[Line_Productivity].[Product]" caption="Product" attribute="1" defaultMemberUniqueName="[Line_Productivity].[Product].[All]" allUniqueName="[Line_Productivity].[Product].[All]" dimensionUniqueName="[Line_Productivity]" displayFolder="" count="0" memberValueDatatype="130" unbalanced="0"/>
    <cacheHierarchy uniqueName="[Line_Productivity].[Batch]" caption="Batch" attribute="1" defaultMemberUniqueName="[Line_Productivity].[Batch].[All]" allUniqueName="[Line_Productivity].[Batch].[All]" dimensionUniqueName="[Line_Productivity]" displayFolder="" count="0" memberValueDatatype="130" unbalanced="0"/>
    <cacheHierarchy uniqueName="[Line_Productivity].[Operator]" caption="Operator" attribute="1" defaultMemberUniqueName="[Line_Productivity].[Operator].[All]" allUniqueName="[Line_Productivity].[Operator].[All]" dimensionUniqueName="[Line_Productivity]" displayFolder="" count="2" memberValueDatatype="130" unbalanced="0"/>
    <cacheHierarchy uniqueName="[Line_Productivity].[Start Time]" caption="Start Time" attribute="1" time="1" defaultMemberUniqueName="[Line_Productivity].[Start Time].[All]" allUniqueName="[Line_Productivity].[Start Time].[All]" dimensionUniqueName="[Line_Productivity]" displayFolder="" count="0" memberValueDatatype="7" unbalanced="0"/>
    <cacheHierarchy uniqueName="[Line_Productivity].[End Time]" caption="End Time" attribute="1" time="1" defaultMemberUniqueName="[Line_Productivity].[End Time].[All]" allUniqueName="[Line_Productivity].[End Time].[All]" dimensionUniqueName="[Line_Productivity]" displayFolder="" count="0" memberValueDatatype="7" unbalanced="0"/>
    <cacheHierarchy uniqueName="[Line_Productivity].[Worked Hours]" caption="Worked Hours" attribute="1" defaultMemberUniqueName="[Line_Productivity].[Worked Hours].[All]" allUniqueName="[Line_Productivity].[Worked Hours].[All]" dimensionUniqueName="[Line_Productivity]" displayFolder="" count="0" memberValueDatatype="5" unbalanced="0"/>
    <cacheHierarchy uniqueName="[Line_Productivity].[Min Batch Time]" caption="Min Batch Time" attribute="1" defaultMemberUniqueName="[Line_Productivity].[Min Batch Time].[All]" allUniqueName="[Line_Productivity].[Min Batch Time].[All]" dimensionUniqueName="[Line_Productivity]" displayFolder="" count="0" memberValueDatatype="5" unbalanced="0"/>
    <cacheHierarchy uniqueName="[Line_Productivity].[Date (Month)]" caption="Date (Month)" attribute="1" defaultMemberUniqueName="[Line_Productivity].[Date (Month)].[All]" allUniqueName="[Line_Productivity].[Date (Month)].[All]" dimensionUniqueName="[Line_Productivity]" displayFolder="" count="0" memberValueDatatype="130" unbalanced="0"/>
    <cacheHierarchy uniqueName="[Product].[Product]" caption="Product" attribute="1" defaultMemberUniqueName="[Product].[Product].[All]" allUniqueName="[Product].[Product].[All]" dimensionUniqueName="[Product]" displayFolder="" count="0" memberValueDatatype="130" unbalanced="0"/>
    <cacheHierarchy uniqueName="[Product].[Flavor]" caption="Flavor" attribute="1" defaultMemberUniqueName="[Product].[Flavor].[All]" allUniqueName="[Product].[Flavor].[All]" dimensionUniqueName="[Product]" displayFolder="" count="0" memberValueDatatype="130" unbalanced="0"/>
    <cacheHierarchy uniqueName="[Product].[Size]" caption="Size" attribute="1" defaultMemberUniqueName="[Product].[Size].[All]" allUniqueName="[Product].[Size].[All]" dimensionUniqueName="[Product]" displayFolder="" count="0" memberValueDatatype="130" unbalanced="0"/>
    <cacheHierarchy uniqueName="[Product].[Min batch time]" caption="Min batch time" attribute="1" defaultMemberUniqueName="[Product].[Min batch time].[All]" allUniqueName="[Product].[Min batch time].[All]" dimensionUniqueName="[Product]" displayFolder="" count="0" memberValueDatatype="5" unbalanced="0"/>
    <cacheHierarchy uniqueName="[Line_Productivity].[Date (Month Index)]" caption="Date (Month Index)" attribute="1" defaultMemberUniqueName="[Line_Productivity].[Date (Month Index)].[All]" allUniqueName="[Line_Productivity].[Date (Month Index)].[All]" dimensionUniqueName="[Line_Productivity]" displayFolder="" count="0" memberValueDatatype="20" unbalanced="0" hidden="1"/>
    <cacheHierarchy uniqueName="[Measures].[Total Worked Hours]" caption="Total Worked Hours" measure="1" displayFolder="" measureGroup="Line_Productivity" count="0"/>
    <cacheHierarchy uniqueName="[Measures].[Total Min Batch Time]" caption="Total Min Batch Time" measure="1" displayFolder="" measureGroup="Line_Productivity" count="0"/>
    <cacheHierarchy uniqueName="[Measures].[Line Eff %]" caption="Line Eff %" measure="1" displayFolder="" measureGroup="Line_Productivity" count="0"/>
    <cacheHierarchy uniqueName="[Measures].[Total Downtime]" caption="Total Downtime" measure="1" displayFolder="" measureGroup="Line_Productivity" count="0"/>
    <cacheHierarchy uniqueName="[Measures].[Line ineff %]" caption="Line ineff %" measure="1" displayFolder="" measureGroup="Line_Productivity" count="0"/>
    <cacheHierarchy uniqueName="[Measures].[DOWNTIME RATIO]" caption="DOWNTIME RATIO" measure="1" displayFolder="" measureGroup="Line_Productivity" count="0"/>
    <cacheHierarchy uniqueName="[Measures].[STANDARD TIME RATIO]" caption="STANDARD TIME RATIO" measure="1" displayFolder="" measureGroup="Line_Productivity" count="0"/>
    <cacheHierarchy uniqueName="[Measures].[Total Batch Count]" caption="Total Batch Count" measure="1" displayFolder="" measureGroup="Line_Productivity" count="0"/>
    <cacheHierarchy uniqueName="[Measures].[AVE BATCH DOWNTIME]" caption="AVE BATCH DOWNTIME" measure="1" displayFolder="" measureGroup="Line_Productivity" count="0"/>
    <cacheHierarchy uniqueName="[Measures].[RATIO]" caption="RATIO" measure="1" displayFolder="" measureGroup="Line_Productivity" count="0"/>
    <cacheHierarchy uniqueName="[Measures].[ STANDARD TIME RATIO]" caption=" STANDARD TIME RATIO" measure="1" displayFolder="" measureGroup="Line_Productivity" count="0"/>
    <cacheHierarchy uniqueName="[Measures].[__XL_Count Product]" caption="__XL_Count Product" measure="1" displayFolder="" measureGroup="Product" count="0" hidden="1"/>
    <cacheHierarchy uniqueName="[Measures].[__XL_Count Downtime_Factors]" caption="__XL_Count Downtime_Factors" measure="1" displayFolder="" measureGroup="Downtime_Factors" count="0" hidden="1"/>
    <cacheHierarchy uniqueName="[Measures].[__XL_Count Line_Downtime]" caption="__XL_Count Line_Downtime" measure="1" displayFolder="" measureGroup="Line_Downtime" count="0" hidden="1"/>
    <cacheHierarchy uniqueName="[Measures].[__XL_Count Line_Productivity]" caption="__XL_Count Line_Productivity" measure="1" displayFolder="" measureGroup="Line_Productivity" count="0" hidden="1"/>
    <cacheHierarchy uniqueName="[Measures].[__No measures defined]" caption="__No measures defined" measure="1" displayFolder="" count="0" hidden="1"/>
    <cacheHierarchy uniqueName="[Measures].[Sum of Min batch time]" caption="Sum of Min batch time" measure="1" displayFolder="" measureGroup="Product" count="0" hidden="1">
      <extLst>
        <ext xmlns:x15="http://schemas.microsoft.com/office/spreadsheetml/2010/11/main" uri="{B97F6D7D-B522-45F9-BDA1-12C45D357490}">
          <x15:cacheHierarchy aggregatedColumn="21"/>
        </ext>
      </extLst>
    </cacheHierarchy>
    <cacheHierarchy uniqueName="[Measures].[Sum of Min Batch Time 2]" caption="Sum of Min Batch Time 2" measure="1" displayFolder="" measureGroup="Line_Productivity" count="0" hidden="1">
      <extLst>
        <ext xmlns:x15="http://schemas.microsoft.com/office/spreadsheetml/2010/11/main" uri="{B97F6D7D-B522-45F9-BDA1-12C45D357490}">
          <x15:cacheHierarchy aggregatedColumn="16"/>
        </ext>
      </extLst>
    </cacheHierarchy>
    <cacheHierarchy uniqueName="[Measures].[Sum of Worked Hours]" caption="Sum of Worked Hours" measure="1" displayFolder="" measureGroup="Line_Productivity" count="0" hidden="1">
      <extLst>
        <ext xmlns:x15="http://schemas.microsoft.com/office/spreadsheetml/2010/11/main" uri="{B97F6D7D-B522-45F9-BDA1-12C45D357490}">
          <x15:cacheHierarchy aggregatedColumn="15"/>
        </ext>
      </extLst>
    </cacheHierarchy>
    <cacheHierarchy uniqueName="[Measures].[Sum of Downtime]" caption="Sum of Downtime" measure="1" displayFolder="" measureGroup="Line_Downtime" count="0" hidden="1">
      <extLst>
        <ext xmlns:x15="http://schemas.microsoft.com/office/spreadsheetml/2010/11/main" uri="{B97F6D7D-B522-45F9-BDA1-12C45D357490}">
          <x15:cacheHierarchy aggregatedColumn="5"/>
        </ext>
      </extLst>
    </cacheHierarchy>
    <cacheHierarchy uniqueName="[Measures].[Count of Description]" caption="Count of Description" measure="1" displayFolder="" measureGroup="Downtime_Factors" count="0" hidden="1">
      <extLst>
        <ext xmlns:x15="http://schemas.microsoft.com/office/spreadsheetml/2010/11/main" uri="{B97F6D7D-B522-45F9-BDA1-12C45D357490}">
          <x15:cacheHierarchy aggregatedColumn="1"/>
        </ext>
      </extLst>
    </cacheHierarchy>
    <cacheHierarchy uniqueName="[Measures].[Count of Operator Error]" caption="Count of Operator Error" measure="1" displayFolder="" measureGroup="Downtime_Factors" count="0" hidden="1">
      <extLst>
        <ext xmlns:x15="http://schemas.microsoft.com/office/spreadsheetml/2010/11/main" uri="{B97F6D7D-B522-45F9-BDA1-12C45D357490}">
          <x15:cacheHierarchy aggregatedColumn="2"/>
        </ext>
      </extLst>
    </cacheHierarchy>
    <cacheHierarchy uniqueName="[Measures].[Count of Factor]" caption="Count of Factor" measure="1" displayFolder="" measureGroup="Line_Downtime" count="0" oneField="1" hidden="1">
      <fieldsUsage count="1">
        <fieldUsage x="2"/>
      </fieldsUsage>
      <extLst>
        <ext xmlns:x15="http://schemas.microsoft.com/office/spreadsheetml/2010/11/main" uri="{B97F6D7D-B522-45F9-BDA1-12C45D357490}">
          <x15:cacheHierarchy aggregatedColumn="4"/>
        </ext>
      </extLst>
    </cacheHierarchy>
    <cacheHierarchy uniqueName="[Measures].[Count of Batch]" caption="Count of Batch" measure="1" displayFolder="" measureGroup="Line_Productivity" count="0" hidden="1">
      <extLst>
        <ext xmlns:x15="http://schemas.microsoft.com/office/spreadsheetml/2010/11/main" uri="{B97F6D7D-B522-45F9-BDA1-12C45D357490}">
          <x15:cacheHierarchy aggregatedColumn="11"/>
        </ext>
      </extLst>
    </cacheHierarchy>
    <cacheHierarchy uniqueName="[Measures].[Count of Batch 2]" caption="Count of Batch 2" measure="1" displayFolder="" measureGroup="Line_Downtime" count="0" hidden="1">
      <extLst>
        <ext xmlns:x15="http://schemas.microsoft.com/office/spreadsheetml/2010/11/main" uri="{B97F6D7D-B522-45F9-BDA1-12C45D357490}">
          <x15:cacheHierarchy aggregatedColumn="3"/>
        </ext>
      </extLst>
    </cacheHierarchy>
    <cacheHierarchy uniqueName="[Measures].[Count of Product]" caption="Count of Product" measure="1" displayFolder="" measureGroup="Line_Productivity" count="0" hidden="1">
      <extLst>
        <ext xmlns:x15="http://schemas.microsoft.com/office/spreadsheetml/2010/11/main" uri="{B97F6D7D-B522-45F9-BDA1-12C45D357490}">
          <x15:cacheHierarchy aggregatedColumn="10"/>
        </ext>
      </extLst>
    </cacheHierarchy>
    <cacheHierarchy uniqueName="[Measures].[Sum of Factor]" caption="Sum of Factor" measure="1" displayFolder="" measureGroup="Downtime_Factors" count="0" hidden="1">
      <extLst>
        <ext xmlns:x15="http://schemas.microsoft.com/office/spreadsheetml/2010/11/main" uri="{B97F6D7D-B522-45F9-BDA1-12C45D357490}">
          <x15:cacheHierarchy aggregatedColumn="0"/>
        </ext>
      </extLst>
    </cacheHierarchy>
    <cacheHierarchy uniqueName="[Measures].[Count of Downtime]" caption="Count of Downtime" measure="1" displayFolder="" measureGroup="Line_Downtime" count="0" hidden="1">
      <extLst>
        <ext xmlns:x15="http://schemas.microsoft.com/office/spreadsheetml/2010/11/main" uri="{B97F6D7D-B522-45F9-BDA1-12C45D357490}">
          <x15:cacheHierarchy aggregatedColumn="5"/>
        </ext>
      </extLst>
    </cacheHierarchy>
    <cacheHierarchy uniqueName="Unsupported0" caption="Factor" measure="1" count="0">
      <extLst>
        <ext xmlns:x14="http://schemas.microsoft.com/office/spreadsheetml/2009/9/main" uri="{8CF416AD-EC4C-4aba-99F5-12A058AE0983}">
          <x14:cacheHierarchy ignore="1"/>
        </ext>
      </extLst>
    </cacheHierarchy>
  </cacheHierarchies>
  <kpis count="0"/>
  <dimensions count="5">
    <dimension name="Downtime_Factors" uniqueName="[Downtime_Factors]" caption="Downtime_Factors"/>
    <dimension name="Line_Downtime" uniqueName="[Line_Downtime]" caption="Line_Downtime"/>
    <dimension name="Line_Productivity" uniqueName="[Line_Productivity]" caption="Line_Productivity"/>
    <dimension measure="1" name="Measures" uniqueName="[Measures]" caption="Measures"/>
    <dimension name="Product" uniqueName="[Product]" caption="Product"/>
  </dimensions>
  <measureGroups count="4">
    <measureGroup name="Downtime_Factors" caption="Downtime_Factors"/>
    <measureGroup name="Line_Downtime" caption="Line_Downtime"/>
    <measureGroup name="Line_Productivity" caption="Line_Productivity"/>
    <measureGroup name="Product" caption="Product"/>
  </measureGroups>
  <maps count="8">
    <map measureGroup="0" dimension="0"/>
    <map measureGroup="1" dimension="0"/>
    <map measureGroup="1" dimension="1"/>
    <map measureGroup="1" dimension="2"/>
    <map measureGroup="1" dimension="4"/>
    <map measureGroup="2" dimension="2"/>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995.330200578705" backgroundQuery="1" createdVersion="8" refreshedVersion="8" minRefreshableVersion="3" recordCount="0" supportSubquery="1" supportAdvancedDrill="1" xr:uid="{E7D26C26-BF1E-4018-BC5F-2735E94E28F2}">
  <cacheSource type="external" connectionId="6"/>
  <cacheFields count="3">
    <cacheField name="[Downtime_Factors].[Operator Error].[Operator Error]" caption="Operator Error" numFmtId="0" hierarchy="2" level="1">
      <sharedItems count="2">
        <s v="No"/>
        <s v="Yes"/>
      </sharedItems>
    </cacheField>
    <cacheField name="[Measures].[Total Downtime]" caption="Total Downtime" numFmtId="0" hierarchy="26" level="32767"/>
    <cacheField name="[Line_Productivity].[Year].[Year]" caption="Year" numFmtId="0" hierarchy="9" level="1">
      <sharedItems containsSemiMixedTypes="0" containsNonDate="0" containsString="0"/>
    </cacheField>
  </cacheFields>
  <cacheHierarchies count="51">
    <cacheHierarchy uniqueName="[Downtime_Factors].[Factor]" caption="Factor" attribute="1" defaultMemberUniqueName="[Downtime_Factors].[Factor].[All]" allUniqueName="[Downtime_Factors].[Factor].[All]" dimensionUniqueName="[Downtime_Factors]" displayFolder="" count="0" memberValueDatatype="20" unbalanced="0"/>
    <cacheHierarchy uniqueName="[Downtime_Factors].[Description]" caption="Description" attribute="1" defaultMemberUniqueName="[Downtime_Factors].[Description].[All]" allUniqueName="[Downtime_Factors].[Description].[All]" dimensionUniqueName="[Downtime_Factors]" displayFolder="" count="0" memberValueDatatype="130" unbalanced="0"/>
    <cacheHierarchy uniqueName="[Downtime_Factors].[Operator Error]" caption="Operator Error" attribute="1" defaultMemberUniqueName="[Downtime_Factors].[Operator Error].[All]" allUniqueName="[Downtime_Factors].[Operator Error].[All]" dimensionUniqueName="[Downtime_Factors]" displayFolder="" count="2" memberValueDatatype="130" unbalanced="0">
      <fieldsUsage count="2">
        <fieldUsage x="-1"/>
        <fieldUsage x="0"/>
      </fieldsUsage>
    </cacheHierarchy>
    <cacheHierarchy uniqueName="[Line_Downtime].[Batch]" caption="Batch" attribute="1" defaultMemberUniqueName="[Line_Downtime].[Batch].[All]" allUniqueName="[Line_Downtime].[Batch].[All]" dimensionUniqueName="[Line_Downtime]" displayFolder="" count="0" memberValueDatatype="130" unbalanced="0"/>
    <cacheHierarchy uniqueName="[Line_Downtime].[Factor]" caption="Factor" attribute="1" defaultMemberUniqueName="[Line_Downtime].[Factor].[All]" allUniqueName="[Line_Downtime].[Factor].[All]" dimensionUniqueName="[Line_Downtime]" displayFolder="" count="0" memberValueDatatype="130" unbalanced="0"/>
    <cacheHierarchy uniqueName="[Line_Downtime].[Downtime]" caption="Downtime" attribute="1" defaultMemberUniqueName="[Line_Downtime].[Downtime].[All]" allUniqueName="[Line_Downtime].[Downtime].[All]" dimensionUniqueName="[Line_Downtime]" displayFolder="" count="0" memberValueDatatype="5" unbalanced="0"/>
    <cacheHierarchy uniqueName="[Line_Productivity].[Date]" caption="Date" attribute="1" time="1" defaultMemberUniqueName="[Line_Productivity].[Date].[All]" allUniqueName="[Line_Productivity].[Date].[All]" dimensionUniqueName="[Line_Productivity]" displayFolder="" count="0" memberValueDatatype="7" unbalanced="0"/>
    <cacheHierarchy uniqueName="[Line_Productivity].[Month]" caption="Month" attribute="1" defaultMemberUniqueName="[Line_Productivity].[Month].[All]" allUniqueName="[Line_Productivity].[Month].[All]" dimensionUniqueName="[Line_Productivity]" displayFolder="" count="2" memberValueDatatype="130" unbalanced="0"/>
    <cacheHierarchy uniqueName="[Line_Productivity].[Day]" caption="Day" attribute="1" defaultMemberUniqueName="[Line_Productivity].[Day].[All]" allUniqueName="[Line_Productivity].[Day].[All]" dimensionUniqueName="[Line_Productivity]" displayFolder="" count="0" memberValueDatatype="130" unbalanced="0"/>
    <cacheHierarchy uniqueName="[Line_Productivity].[Year]" caption="Year" attribute="1" defaultMemberUniqueName="[Line_Productivity].[Year].[All]" allUniqueName="[Line_Productivity].[Year].[All]" dimensionUniqueName="[Line_Productivity]" displayFolder="" count="2" memberValueDatatype="130" unbalanced="0">
      <fieldsUsage count="2">
        <fieldUsage x="-1"/>
        <fieldUsage x="2"/>
      </fieldsUsage>
    </cacheHierarchy>
    <cacheHierarchy uniqueName="[Line_Productivity].[Product]" caption="Product" attribute="1" defaultMemberUniqueName="[Line_Productivity].[Product].[All]" allUniqueName="[Line_Productivity].[Product].[All]" dimensionUniqueName="[Line_Productivity]" displayFolder="" count="0" memberValueDatatype="130" unbalanced="0"/>
    <cacheHierarchy uniqueName="[Line_Productivity].[Batch]" caption="Batch" attribute="1" defaultMemberUniqueName="[Line_Productivity].[Batch].[All]" allUniqueName="[Line_Productivity].[Batch].[All]" dimensionUniqueName="[Line_Productivity]" displayFolder="" count="0" memberValueDatatype="130" unbalanced="0"/>
    <cacheHierarchy uniqueName="[Line_Productivity].[Operator]" caption="Operator" attribute="1" defaultMemberUniqueName="[Line_Productivity].[Operator].[All]" allUniqueName="[Line_Productivity].[Operator].[All]" dimensionUniqueName="[Line_Productivity]" displayFolder="" count="2" memberValueDatatype="130" unbalanced="0"/>
    <cacheHierarchy uniqueName="[Line_Productivity].[Start Time]" caption="Start Time" attribute="1" time="1" defaultMemberUniqueName="[Line_Productivity].[Start Time].[All]" allUniqueName="[Line_Productivity].[Start Time].[All]" dimensionUniqueName="[Line_Productivity]" displayFolder="" count="0" memberValueDatatype="7" unbalanced="0"/>
    <cacheHierarchy uniqueName="[Line_Productivity].[End Time]" caption="End Time" attribute="1" time="1" defaultMemberUniqueName="[Line_Productivity].[End Time].[All]" allUniqueName="[Line_Productivity].[End Time].[All]" dimensionUniqueName="[Line_Productivity]" displayFolder="" count="0" memberValueDatatype="7" unbalanced="0"/>
    <cacheHierarchy uniqueName="[Line_Productivity].[Worked Hours]" caption="Worked Hours" attribute="1" defaultMemberUniqueName="[Line_Productivity].[Worked Hours].[All]" allUniqueName="[Line_Productivity].[Worked Hours].[All]" dimensionUniqueName="[Line_Productivity]" displayFolder="" count="0" memberValueDatatype="5" unbalanced="0"/>
    <cacheHierarchy uniqueName="[Line_Productivity].[Min Batch Time]" caption="Min Batch Time" attribute="1" defaultMemberUniqueName="[Line_Productivity].[Min Batch Time].[All]" allUniqueName="[Line_Productivity].[Min Batch Time].[All]" dimensionUniqueName="[Line_Productivity]" displayFolder="" count="0" memberValueDatatype="5" unbalanced="0"/>
    <cacheHierarchy uniqueName="[Line_Productivity].[Date (Month)]" caption="Date (Month)" attribute="1" defaultMemberUniqueName="[Line_Productivity].[Date (Month)].[All]" allUniqueName="[Line_Productivity].[Date (Month)].[All]" dimensionUniqueName="[Line_Productivity]" displayFolder="" count="0" memberValueDatatype="130" unbalanced="0"/>
    <cacheHierarchy uniqueName="[Product].[Product]" caption="Product" attribute="1" defaultMemberUniqueName="[Product].[Product].[All]" allUniqueName="[Product].[Product].[All]" dimensionUniqueName="[Product]" displayFolder="" count="0" memberValueDatatype="130" unbalanced="0"/>
    <cacheHierarchy uniqueName="[Product].[Flavor]" caption="Flavor" attribute="1" defaultMemberUniqueName="[Product].[Flavor].[All]" allUniqueName="[Product].[Flavor].[All]" dimensionUniqueName="[Product]" displayFolder="" count="0" memberValueDatatype="130" unbalanced="0"/>
    <cacheHierarchy uniqueName="[Product].[Size]" caption="Size" attribute="1" defaultMemberUniqueName="[Product].[Size].[All]" allUniqueName="[Product].[Size].[All]" dimensionUniqueName="[Product]" displayFolder="" count="0" memberValueDatatype="130" unbalanced="0"/>
    <cacheHierarchy uniqueName="[Product].[Min batch time]" caption="Min batch time" attribute="1" defaultMemberUniqueName="[Product].[Min batch time].[All]" allUniqueName="[Product].[Min batch time].[All]" dimensionUniqueName="[Product]" displayFolder="" count="0" memberValueDatatype="5" unbalanced="0"/>
    <cacheHierarchy uniqueName="[Line_Productivity].[Date (Month Index)]" caption="Date (Month Index)" attribute="1" defaultMemberUniqueName="[Line_Productivity].[Date (Month Index)].[All]" allUniqueName="[Line_Productivity].[Date (Month Index)].[All]" dimensionUniqueName="[Line_Productivity]" displayFolder="" count="0" memberValueDatatype="20" unbalanced="0" hidden="1"/>
    <cacheHierarchy uniqueName="[Measures].[Total Worked Hours]" caption="Total Worked Hours" measure="1" displayFolder="" measureGroup="Line_Productivity" count="0"/>
    <cacheHierarchy uniqueName="[Measures].[Total Min Batch Time]" caption="Total Min Batch Time" measure="1" displayFolder="" measureGroup="Line_Productivity" count="0"/>
    <cacheHierarchy uniqueName="[Measures].[Line Eff %]" caption="Line Eff %" measure="1" displayFolder="" measureGroup="Line_Productivity" count="0"/>
    <cacheHierarchy uniqueName="[Measures].[Total Downtime]" caption="Total Downtime" measure="1" displayFolder="" measureGroup="Line_Productivity" count="0" oneField="1">
      <fieldsUsage count="1">
        <fieldUsage x="1"/>
      </fieldsUsage>
    </cacheHierarchy>
    <cacheHierarchy uniqueName="[Measures].[Line ineff %]" caption="Line ineff %" measure="1" displayFolder="" measureGroup="Line_Productivity" count="0"/>
    <cacheHierarchy uniqueName="[Measures].[DOWNTIME RATIO]" caption="DOWNTIME RATIO" measure="1" displayFolder="" measureGroup="Line_Productivity" count="0"/>
    <cacheHierarchy uniqueName="[Measures].[STANDARD TIME RATIO]" caption="STANDARD TIME RATIO" measure="1" displayFolder="" measureGroup="Line_Productivity" count="0"/>
    <cacheHierarchy uniqueName="[Measures].[Total Batch Count]" caption="Total Batch Count" measure="1" displayFolder="" measureGroup="Line_Productivity" count="0"/>
    <cacheHierarchy uniqueName="[Measures].[AVE BATCH DOWNTIME]" caption="AVE BATCH DOWNTIME" measure="1" displayFolder="" measureGroup="Line_Productivity" count="0"/>
    <cacheHierarchy uniqueName="[Measures].[RATIO]" caption="RATIO" measure="1" displayFolder="" measureGroup="Line_Productivity" count="0"/>
    <cacheHierarchy uniqueName="[Measures].[ STANDARD TIME RATIO]" caption=" STANDARD TIME RATIO" measure="1" displayFolder="" measureGroup="Line_Productivity" count="0"/>
    <cacheHierarchy uniqueName="[Measures].[__XL_Count Product]" caption="__XL_Count Product" measure="1" displayFolder="" measureGroup="Product" count="0" hidden="1"/>
    <cacheHierarchy uniqueName="[Measures].[__XL_Count Downtime_Factors]" caption="__XL_Count Downtime_Factors" measure="1" displayFolder="" measureGroup="Downtime_Factors" count="0" hidden="1"/>
    <cacheHierarchy uniqueName="[Measures].[__XL_Count Line_Downtime]" caption="__XL_Count Line_Downtime" measure="1" displayFolder="" measureGroup="Line_Downtime" count="0" hidden="1"/>
    <cacheHierarchy uniqueName="[Measures].[__XL_Count Line_Productivity]" caption="__XL_Count Line_Productivity" measure="1" displayFolder="" measureGroup="Line_Productivity" count="0" hidden="1"/>
    <cacheHierarchy uniqueName="[Measures].[__No measures defined]" caption="__No measures defined" measure="1" displayFolder="" count="0" hidden="1"/>
    <cacheHierarchy uniqueName="[Measures].[Sum of Min batch time]" caption="Sum of Min batch time" measure="1" displayFolder="" measureGroup="Product" count="0" hidden="1">
      <extLst>
        <ext xmlns:x15="http://schemas.microsoft.com/office/spreadsheetml/2010/11/main" uri="{B97F6D7D-B522-45F9-BDA1-12C45D357490}">
          <x15:cacheHierarchy aggregatedColumn="21"/>
        </ext>
      </extLst>
    </cacheHierarchy>
    <cacheHierarchy uniqueName="[Measures].[Sum of Min Batch Time 2]" caption="Sum of Min Batch Time 2" measure="1" displayFolder="" measureGroup="Line_Productivity" count="0" hidden="1">
      <extLst>
        <ext xmlns:x15="http://schemas.microsoft.com/office/spreadsheetml/2010/11/main" uri="{B97F6D7D-B522-45F9-BDA1-12C45D357490}">
          <x15:cacheHierarchy aggregatedColumn="16"/>
        </ext>
      </extLst>
    </cacheHierarchy>
    <cacheHierarchy uniqueName="[Measures].[Sum of Worked Hours]" caption="Sum of Worked Hours" measure="1" displayFolder="" measureGroup="Line_Productivity" count="0" hidden="1">
      <extLst>
        <ext xmlns:x15="http://schemas.microsoft.com/office/spreadsheetml/2010/11/main" uri="{B97F6D7D-B522-45F9-BDA1-12C45D357490}">
          <x15:cacheHierarchy aggregatedColumn="15"/>
        </ext>
      </extLst>
    </cacheHierarchy>
    <cacheHierarchy uniqueName="[Measures].[Sum of Downtime]" caption="Sum of Downtime" measure="1" displayFolder="" measureGroup="Line_Downtime" count="0" hidden="1">
      <extLst>
        <ext xmlns:x15="http://schemas.microsoft.com/office/spreadsheetml/2010/11/main" uri="{B97F6D7D-B522-45F9-BDA1-12C45D357490}">
          <x15:cacheHierarchy aggregatedColumn="5"/>
        </ext>
      </extLst>
    </cacheHierarchy>
    <cacheHierarchy uniqueName="[Measures].[Count of Description]" caption="Count of Description" measure="1" displayFolder="" measureGroup="Downtime_Factors" count="0" hidden="1">
      <extLst>
        <ext xmlns:x15="http://schemas.microsoft.com/office/spreadsheetml/2010/11/main" uri="{B97F6D7D-B522-45F9-BDA1-12C45D357490}">
          <x15:cacheHierarchy aggregatedColumn="1"/>
        </ext>
      </extLst>
    </cacheHierarchy>
    <cacheHierarchy uniqueName="[Measures].[Count of Operator Error]" caption="Count of Operator Error" measure="1" displayFolder="" measureGroup="Downtime_Factors" count="0" hidden="1">
      <extLst>
        <ext xmlns:x15="http://schemas.microsoft.com/office/spreadsheetml/2010/11/main" uri="{B97F6D7D-B522-45F9-BDA1-12C45D357490}">
          <x15:cacheHierarchy aggregatedColumn="2"/>
        </ext>
      </extLst>
    </cacheHierarchy>
    <cacheHierarchy uniqueName="[Measures].[Count of Factor]" caption="Count of Factor" measure="1" displayFolder="" measureGroup="Line_Downtime" count="0" hidden="1">
      <extLst>
        <ext xmlns:x15="http://schemas.microsoft.com/office/spreadsheetml/2010/11/main" uri="{B97F6D7D-B522-45F9-BDA1-12C45D357490}">
          <x15:cacheHierarchy aggregatedColumn="4"/>
        </ext>
      </extLst>
    </cacheHierarchy>
    <cacheHierarchy uniqueName="[Measures].[Count of Batch]" caption="Count of Batch" measure="1" displayFolder="" measureGroup="Line_Productivity" count="0" hidden="1">
      <extLst>
        <ext xmlns:x15="http://schemas.microsoft.com/office/spreadsheetml/2010/11/main" uri="{B97F6D7D-B522-45F9-BDA1-12C45D357490}">
          <x15:cacheHierarchy aggregatedColumn="11"/>
        </ext>
      </extLst>
    </cacheHierarchy>
    <cacheHierarchy uniqueName="[Measures].[Count of Batch 2]" caption="Count of Batch 2" measure="1" displayFolder="" measureGroup="Line_Downtime" count="0" hidden="1">
      <extLst>
        <ext xmlns:x15="http://schemas.microsoft.com/office/spreadsheetml/2010/11/main" uri="{B97F6D7D-B522-45F9-BDA1-12C45D357490}">
          <x15:cacheHierarchy aggregatedColumn="3"/>
        </ext>
      </extLst>
    </cacheHierarchy>
    <cacheHierarchy uniqueName="[Measures].[Count of Product]" caption="Count of Product" measure="1" displayFolder="" measureGroup="Line_Productivity" count="0" hidden="1">
      <extLst>
        <ext xmlns:x15="http://schemas.microsoft.com/office/spreadsheetml/2010/11/main" uri="{B97F6D7D-B522-45F9-BDA1-12C45D357490}">
          <x15:cacheHierarchy aggregatedColumn="10"/>
        </ext>
      </extLst>
    </cacheHierarchy>
    <cacheHierarchy uniqueName="[Measures].[Sum of Factor]" caption="Sum of Factor" measure="1" displayFolder="" measureGroup="Downtime_Factors" count="0" hidden="1">
      <extLst>
        <ext xmlns:x15="http://schemas.microsoft.com/office/spreadsheetml/2010/11/main" uri="{B97F6D7D-B522-45F9-BDA1-12C45D357490}">
          <x15:cacheHierarchy aggregatedColumn="0"/>
        </ext>
      </extLst>
    </cacheHierarchy>
    <cacheHierarchy uniqueName="[Measures].[Count of Downtime]" caption="Count of Downtime" measure="1" displayFolder="" measureGroup="Line_Downtime" count="0" hidden="1">
      <extLst>
        <ext xmlns:x15="http://schemas.microsoft.com/office/spreadsheetml/2010/11/main" uri="{B97F6D7D-B522-45F9-BDA1-12C45D357490}">
          <x15:cacheHierarchy aggregatedColumn="5"/>
        </ext>
      </extLst>
    </cacheHierarchy>
  </cacheHierarchies>
  <kpis count="0"/>
  <dimensions count="5">
    <dimension name="Downtime_Factors" uniqueName="[Downtime_Factors]" caption="Downtime_Factors"/>
    <dimension name="Line_Downtime" uniqueName="[Line_Downtime]" caption="Line_Downtime"/>
    <dimension name="Line_Productivity" uniqueName="[Line_Productivity]" caption="Line_Productivity"/>
    <dimension measure="1" name="Measures" uniqueName="[Measures]" caption="Measures"/>
    <dimension name="Product" uniqueName="[Product]" caption="Product"/>
  </dimensions>
  <measureGroups count="4">
    <measureGroup name="Downtime_Factors" caption="Downtime_Factors"/>
    <measureGroup name="Line_Downtime" caption="Line_Downtime"/>
    <measureGroup name="Line_Productivity" caption="Line_Productivity"/>
    <measureGroup name="Product" caption="Product"/>
  </measureGroups>
  <maps count="8">
    <map measureGroup="0" dimension="0"/>
    <map measureGroup="1" dimension="0"/>
    <map measureGroup="1" dimension="1"/>
    <map measureGroup="1" dimension="2"/>
    <map measureGroup="1" dimension="4"/>
    <map measureGroup="2" dimension="2"/>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995.330200925928" backgroundQuery="1" createdVersion="8" refreshedVersion="8" minRefreshableVersion="3" recordCount="0" supportSubquery="1" supportAdvancedDrill="1" xr:uid="{7A0F7774-1228-4BC2-9367-C4235914843D}">
  <cacheSource type="external" connectionId="6"/>
  <cacheFields count="3">
    <cacheField name="[Downtime_Factors].[Operator Error].[Operator Error]" caption="Operator Error" numFmtId="0" hierarchy="2" level="1">
      <sharedItems count="2">
        <s v="No"/>
        <s v="Yes"/>
      </sharedItems>
    </cacheField>
    <cacheField name="[Measures].[Total Downtime]" caption="Total Downtime" numFmtId="0" hierarchy="26" level="32767"/>
    <cacheField name="[Line_Productivity].[Year].[Year]" caption="Year" numFmtId="0" hierarchy="9" level="1">
      <sharedItems containsSemiMixedTypes="0" containsNonDate="0" containsString="0"/>
    </cacheField>
  </cacheFields>
  <cacheHierarchies count="51">
    <cacheHierarchy uniqueName="[Downtime_Factors].[Factor]" caption="Factor" attribute="1" defaultMemberUniqueName="[Downtime_Factors].[Factor].[All]" allUniqueName="[Downtime_Factors].[Factor].[All]" dimensionUniqueName="[Downtime_Factors]" displayFolder="" count="0" memberValueDatatype="20" unbalanced="0"/>
    <cacheHierarchy uniqueName="[Downtime_Factors].[Description]" caption="Description" attribute="1" defaultMemberUniqueName="[Downtime_Factors].[Description].[All]" allUniqueName="[Downtime_Factors].[Description].[All]" dimensionUniqueName="[Downtime_Factors]" displayFolder="" count="0" memberValueDatatype="130" unbalanced="0"/>
    <cacheHierarchy uniqueName="[Downtime_Factors].[Operator Error]" caption="Operator Error" attribute="1" defaultMemberUniqueName="[Downtime_Factors].[Operator Error].[All]" allUniqueName="[Downtime_Factors].[Operator Error].[All]" dimensionUniqueName="[Downtime_Factors]" displayFolder="" count="2" memberValueDatatype="130" unbalanced="0">
      <fieldsUsage count="2">
        <fieldUsage x="-1"/>
        <fieldUsage x="0"/>
      </fieldsUsage>
    </cacheHierarchy>
    <cacheHierarchy uniqueName="[Line_Downtime].[Batch]" caption="Batch" attribute="1" defaultMemberUniqueName="[Line_Downtime].[Batch].[All]" allUniqueName="[Line_Downtime].[Batch].[All]" dimensionUniqueName="[Line_Downtime]" displayFolder="" count="0" memberValueDatatype="130" unbalanced="0"/>
    <cacheHierarchy uniqueName="[Line_Downtime].[Factor]" caption="Factor" attribute="1" defaultMemberUniqueName="[Line_Downtime].[Factor].[All]" allUniqueName="[Line_Downtime].[Factor].[All]" dimensionUniqueName="[Line_Downtime]" displayFolder="" count="0" memberValueDatatype="130" unbalanced="0"/>
    <cacheHierarchy uniqueName="[Line_Downtime].[Downtime]" caption="Downtime" attribute="1" defaultMemberUniqueName="[Line_Downtime].[Downtime].[All]" allUniqueName="[Line_Downtime].[Downtime].[All]" dimensionUniqueName="[Line_Downtime]" displayFolder="" count="0" memberValueDatatype="5" unbalanced="0"/>
    <cacheHierarchy uniqueName="[Line_Productivity].[Date]" caption="Date" attribute="1" time="1" defaultMemberUniqueName="[Line_Productivity].[Date].[All]" allUniqueName="[Line_Productivity].[Date].[All]" dimensionUniqueName="[Line_Productivity]" displayFolder="" count="0" memberValueDatatype="7" unbalanced="0"/>
    <cacheHierarchy uniqueName="[Line_Productivity].[Month]" caption="Month" attribute="1" defaultMemberUniqueName="[Line_Productivity].[Month].[All]" allUniqueName="[Line_Productivity].[Month].[All]" dimensionUniqueName="[Line_Productivity]" displayFolder="" count="2" memberValueDatatype="130" unbalanced="0"/>
    <cacheHierarchy uniqueName="[Line_Productivity].[Day]" caption="Day" attribute="1" defaultMemberUniqueName="[Line_Productivity].[Day].[All]" allUniqueName="[Line_Productivity].[Day].[All]" dimensionUniqueName="[Line_Productivity]" displayFolder="" count="0" memberValueDatatype="130" unbalanced="0"/>
    <cacheHierarchy uniqueName="[Line_Productivity].[Year]" caption="Year" attribute="1" defaultMemberUniqueName="[Line_Productivity].[Year].[All]" allUniqueName="[Line_Productivity].[Year].[All]" dimensionUniqueName="[Line_Productivity]" displayFolder="" count="2" memberValueDatatype="130" unbalanced="0">
      <fieldsUsage count="2">
        <fieldUsage x="-1"/>
        <fieldUsage x="2"/>
      </fieldsUsage>
    </cacheHierarchy>
    <cacheHierarchy uniqueName="[Line_Productivity].[Product]" caption="Product" attribute="1" defaultMemberUniqueName="[Line_Productivity].[Product].[All]" allUniqueName="[Line_Productivity].[Product].[All]" dimensionUniqueName="[Line_Productivity]" displayFolder="" count="0" memberValueDatatype="130" unbalanced="0"/>
    <cacheHierarchy uniqueName="[Line_Productivity].[Batch]" caption="Batch" attribute="1" defaultMemberUniqueName="[Line_Productivity].[Batch].[All]" allUniqueName="[Line_Productivity].[Batch].[All]" dimensionUniqueName="[Line_Productivity]" displayFolder="" count="0" memberValueDatatype="130" unbalanced="0"/>
    <cacheHierarchy uniqueName="[Line_Productivity].[Operator]" caption="Operator" attribute="1" defaultMemberUniqueName="[Line_Productivity].[Operator].[All]" allUniqueName="[Line_Productivity].[Operator].[All]" dimensionUniqueName="[Line_Productivity]" displayFolder="" count="2" memberValueDatatype="130" unbalanced="0"/>
    <cacheHierarchy uniqueName="[Line_Productivity].[Start Time]" caption="Start Time" attribute="1" time="1" defaultMemberUniqueName="[Line_Productivity].[Start Time].[All]" allUniqueName="[Line_Productivity].[Start Time].[All]" dimensionUniqueName="[Line_Productivity]" displayFolder="" count="0" memberValueDatatype="7" unbalanced="0"/>
    <cacheHierarchy uniqueName="[Line_Productivity].[End Time]" caption="End Time" attribute="1" time="1" defaultMemberUniqueName="[Line_Productivity].[End Time].[All]" allUniqueName="[Line_Productivity].[End Time].[All]" dimensionUniqueName="[Line_Productivity]" displayFolder="" count="0" memberValueDatatype="7" unbalanced="0"/>
    <cacheHierarchy uniqueName="[Line_Productivity].[Worked Hours]" caption="Worked Hours" attribute="1" defaultMemberUniqueName="[Line_Productivity].[Worked Hours].[All]" allUniqueName="[Line_Productivity].[Worked Hours].[All]" dimensionUniqueName="[Line_Productivity]" displayFolder="" count="0" memberValueDatatype="5" unbalanced="0"/>
    <cacheHierarchy uniqueName="[Line_Productivity].[Min Batch Time]" caption="Min Batch Time" attribute="1" defaultMemberUniqueName="[Line_Productivity].[Min Batch Time].[All]" allUniqueName="[Line_Productivity].[Min Batch Time].[All]" dimensionUniqueName="[Line_Productivity]" displayFolder="" count="0" memberValueDatatype="5" unbalanced="0"/>
    <cacheHierarchy uniqueName="[Line_Productivity].[Date (Month)]" caption="Date (Month)" attribute="1" defaultMemberUniqueName="[Line_Productivity].[Date (Month)].[All]" allUniqueName="[Line_Productivity].[Date (Month)].[All]" dimensionUniqueName="[Line_Productivity]" displayFolder="" count="0" memberValueDatatype="130" unbalanced="0"/>
    <cacheHierarchy uniqueName="[Product].[Product]" caption="Product" attribute="1" defaultMemberUniqueName="[Product].[Product].[All]" allUniqueName="[Product].[Product].[All]" dimensionUniqueName="[Product]" displayFolder="" count="0" memberValueDatatype="130" unbalanced="0"/>
    <cacheHierarchy uniqueName="[Product].[Flavor]" caption="Flavor" attribute="1" defaultMemberUniqueName="[Product].[Flavor].[All]" allUniqueName="[Product].[Flavor].[All]" dimensionUniqueName="[Product]" displayFolder="" count="0" memberValueDatatype="130" unbalanced="0"/>
    <cacheHierarchy uniqueName="[Product].[Size]" caption="Size" attribute="1" defaultMemberUniqueName="[Product].[Size].[All]" allUniqueName="[Product].[Size].[All]" dimensionUniqueName="[Product]" displayFolder="" count="0" memberValueDatatype="130" unbalanced="0"/>
    <cacheHierarchy uniqueName="[Product].[Min batch time]" caption="Min batch time" attribute="1" defaultMemberUniqueName="[Product].[Min batch time].[All]" allUniqueName="[Product].[Min batch time].[All]" dimensionUniqueName="[Product]" displayFolder="" count="0" memberValueDatatype="5" unbalanced="0"/>
    <cacheHierarchy uniqueName="[Line_Productivity].[Date (Month Index)]" caption="Date (Month Index)" attribute="1" defaultMemberUniqueName="[Line_Productivity].[Date (Month Index)].[All]" allUniqueName="[Line_Productivity].[Date (Month Index)].[All]" dimensionUniqueName="[Line_Productivity]" displayFolder="" count="0" memberValueDatatype="20" unbalanced="0" hidden="1"/>
    <cacheHierarchy uniqueName="[Measures].[Total Worked Hours]" caption="Total Worked Hours" measure="1" displayFolder="" measureGroup="Line_Productivity" count="0"/>
    <cacheHierarchy uniqueName="[Measures].[Total Min Batch Time]" caption="Total Min Batch Time" measure="1" displayFolder="" measureGroup="Line_Productivity" count="0"/>
    <cacheHierarchy uniqueName="[Measures].[Line Eff %]" caption="Line Eff %" measure="1" displayFolder="" measureGroup="Line_Productivity" count="0"/>
    <cacheHierarchy uniqueName="[Measures].[Total Downtime]" caption="Total Downtime" measure="1" displayFolder="" measureGroup="Line_Productivity" count="0" oneField="1">
      <fieldsUsage count="1">
        <fieldUsage x="1"/>
      </fieldsUsage>
    </cacheHierarchy>
    <cacheHierarchy uniqueName="[Measures].[Line ineff %]" caption="Line ineff %" measure="1" displayFolder="" measureGroup="Line_Productivity" count="0"/>
    <cacheHierarchy uniqueName="[Measures].[DOWNTIME RATIO]" caption="DOWNTIME RATIO" measure="1" displayFolder="" measureGroup="Line_Productivity" count="0"/>
    <cacheHierarchy uniqueName="[Measures].[STANDARD TIME RATIO]" caption="STANDARD TIME RATIO" measure="1" displayFolder="" measureGroup="Line_Productivity" count="0"/>
    <cacheHierarchy uniqueName="[Measures].[Total Batch Count]" caption="Total Batch Count" measure="1" displayFolder="" measureGroup="Line_Productivity" count="0"/>
    <cacheHierarchy uniqueName="[Measures].[AVE BATCH DOWNTIME]" caption="AVE BATCH DOWNTIME" measure="1" displayFolder="" measureGroup="Line_Productivity" count="0"/>
    <cacheHierarchy uniqueName="[Measures].[RATIO]" caption="RATIO" measure="1" displayFolder="" measureGroup="Line_Productivity" count="0"/>
    <cacheHierarchy uniqueName="[Measures].[ STANDARD TIME RATIO]" caption=" STANDARD TIME RATIO" measure="1" displayFolder="" measureGroup="Line_Productivity" count="0"/>
    <cacheHierarchy uniqueName="[Measures].[__XL_Count Product]" caption="__XL_Count Product" measure="1" displayFolder="" measureGroup="Product" count="0" hidden="1"/>
    <cacheHierarchy uniqueName="[Measures].[__XL_Count Downtime_Factors]" caption="__XL_Count Downtime_Factors" measure="1" displayFolder="" measureGroup="Downtime_Factors" count="0" hidden="1"/>
    <cacheHierarchy uniqueName="[Measures].[__XL_Count Line_Downtime]" caption="__XL_Count Line_Downtime" measure="1" displayFolder="" measureGroup="Line_Downtime" count="0" hidden="1"/>
    <cacheHierarchy uniqueName="[Measures].[__XL_Count Line_Productivity]" caption="__XL_Count Line_Productivity" measure="1" displayFolder="" measureGroup="Line_Productivity" count="0" hidden="1"/>
    <cacheHierarchy uniqueName="[Measures].[__No measures defined]" caption="__No measures defined" measure="1" displayFolder="" count="0" hidden="1"/>
    <cacheHierarchy uniqueName="[Measures].[Sum of Min batch time]" caption="Sum of Min batch time" measure="1" displayFolder="" measureGroup="Product" count="0" hidden="1">
      <extLst>
        <ext xmlns:x15="http://schemas.microsoft.com/office/spreadsheetml/2010/11/main" uri="{B97F6D7D-B522-45F9-BDA1-12C45D357490}">
          <x15:cacheHierarchy aggregatedColumn="21"/>
        </ext>
      </extLst>
    </cacheHierarchy>
    <cacheHierarchy uniqueName="[Measures].[Sum of Min Batch Time 2]" caption="Sum of Min Batch Time 2" measure="1" displayFolder="" measureGroup="Line_Productivity" count="0" hidden="1">
      <extLst>
        <ext xmlns:x15="http://schemas.microsoft.com/office/spreadsheetml/2010/11/main" uri="{B97F6D7D-B522-45F9-BDA1-12C45D357490}">
          <x15:cacheHierarchy aggregatedColumn="16"/>
        </ext>
      </extLst>
    </cacheHierarchy>
    <cacheHierarchy uniqueName="[Measures].[Sum of Worked Hours]" caption="Sum of Worked Hours" measure="1" displayFolder="" measureGroup="Line_Productivity" count="0" hidden="1">
      <extLst>
        <ext xmlns:x15="http://schemas.microsoft.com/office/spreadsheetml/2010/11/main" uri="{B97F6D7D-B522-45F9-BDA1-12C45D357490}">
          <x15:cacheHierarchy aggregatedColumn="15"/>
        </ext>
      </extLst>
    </cacheHierarchy>
    <cacheHierarchy uniqueName="[Measures].[Sum of Downtime]" caption="Sum of Downtime" measure="1" displayFolder="" measureGroup="Line_Downtime" count="0" hidden="1">
      <extLst>
        <ext xmlns:x15="http://schemas.microsoft.com/office/spreadsheetml/2010/11/main" uri="{B97F6D7D-B522-45F9-BDA1-12C45D357490}">
          <x15:cacheHierarchy aggregatedColumn="5"/>
        </ext>
      </extLst>
    </cacheHierarchy>
    <cacheHierarchy uniqueName="[Measures].[Count of Description]" caption="Count of Description" measure="1" displayFolder="" measureGroup="Downtime_Factors" count="0" hidden="1">
      <extLst>
        <ext xmlns:x15="http://schemas.microsoft.com/office/spreadsheetml/2010/11/main" uri="{B97F6D7D-B522-45F9-BDA1-12C45D357490}">
          <x15:cacheHierarchy aggregatedColumn="1"/>
        </ext>
      </extLst>
    </cacheHierarchy>
    <cacheHierarchy uniqueName="[Measures].[Count of Operator Error]" caption="Count of Operator Error" measure="1" displayFolder="" measureGroup="Downtime_Factors" count="0" hidden="1">
      <extLst>
        <ext xmlns:x15="http://schemas.microsoft.com/office/spreadsheetml/2010/11/main" uri="{B97F6D7D-B522-45F9-BDA1-12C45D357490}">
          <x15:cacheHierarchy aggregatedColumn="2"/>
        </ext>
      </extLst>
    </cacheHierarchy>
    <cacheHierarchy uniqueName="[Measures].[Count of Factor]" caption="Count of Factor" measure="1" displayFolder="" measureGroup="Line_Downtime" count="0" hidden="1">
      <extLst>
        <ext xmlns:x15="http://schemas.microsoft.com/office/spreadsheetml/2010/11/main" uri="{B97F6D7D-B522-45F9-BDA1-12C45D357490}">
          <x15:cacheHierarchy aggregatedColumn="4"/>
        </ext>
      </extLst>
    </cacheHierarchy>
    <cacheHierarchy uniqueName="[Measures].[Count of Batch]" caption="Count of Batch" measure="1" displayFolder="" measureGroup="Line_Productivity" count="0" hidden="1">
      <extLst>
        <ext xmlns:x15="http://schemas.microsoft.com/office/spreadsheetml/2010/11/main" uri="{B97F6D7D-B522-45F9-BDA1-12C45D357490}">
          <x15:cacheHierarchy aggregatedColumn="11"/>
        </ext>
      </extLst>
    </cacheHierarchy>
    <cacheHierarchy uniqueName="[Measures].[Count of Batch 2]" caption="Count of Batch 2" measure="1" displayFolder="" measureGroup="Line_Downtime" count="0" hidden="1">
      <extLst>
        <ext xmlns:x15="http://schemas.microsoft.com/office/spreadsheetml/2010/11/main" uri="{B97F6D7D-B522-45F9-BDA1-12C45D357490}">
          <x15:cacheHierarchy aggregatedColumn="3"/>
        </ext>
      </extLst>
    </cacheHierarchy>
    <cacheHierarchy uniqueName="[Measures].[Count of Product]" caption="Count of Product" measure="1" displayFolder="" measureGroup="Line_Productivity" count="0" hidden="1">
      <extLst>
        <ext xmlns:x15="http://schemas.microsoft.com/office/spreadsheetml/2010/11/main" uri="{B97F6D7D-B522-45F9-BDA1-12C45D357490}">
          <x15:cacheHierarchy aggregatedColumn="10"/>
        </ext>
      </extLst>
    </cacheHierarchy>
    <cacheHierarchy uniqueName="[Measures].[Sum of Factor]" caption="Sum of Factor" measure="1" displayFolder="" measureGroup="Downtime_Factors" count="0" hidden="1">
      <extLst>
        <ext xmlns:x15="http://schemas.microsoft.com/office/spreadsheetml/2010/11/main" uri="{B97F6D7D-B522-45F9-BDA1-12C45D357490}">
          <x15:cacheHierarchy aggregatedColumn="0"/>
        </ext>
      </extLst>
    </cacheHierarchy>
    <cacheHierarchy uniqueName="[Measures].[Count of Downtime]" caption="Count of Downtime" measure="1" displayFolder="" measureGroup="Line_Downtime" count="0" hidden="1">
      <extLst>
        <ext xmlns:x15="http://schemas.microsoft.com/office/spreadsheetml/2010/11/main" uri="{B97F6D7D-B522-45F9-BDA1-12C45D357490}">
          <x15:cacheHierarchy aggregatedColumn="5"/>
        </ext>
      </extLst>
    </cacheHierarchy>
  </cacheHierarchies>
  <kpis count="0"/>
  <dimensions count="5">
    <dimension name="Downtime_Factors" uniqueName="[Downtime_Factors]" caption="Downtime_Factors"/>
    <dimension name="Line_Downtime" uniqueName="[Line_Downtime]" caption="Line_Downtime"/>
    <dimension name="Line_Productivity" uniqueName="[Line_Productivity]" caption="Line_Productivity"/>
    <dimension measure="1" name="Measures" uniqueName="[Measures]" caption="Measures"/>
    <dimension name="Product" uniqueName="[Product]" caption="Product"/>
  </dimensions>
  <measureGroups count="4">
    <measureGroup name="Downtime_Factors" caption="Downtime_Factors"/>
    <measureGroup name="Line_Downtime" caption="Line_Downtime"/>
    <measureGroup name="Line_Productivity" caption="Line_Productivity"/>
    <measureGroup name="Product" caption="Product"/>
  </measureGroups>
  <maps count="8">
    <map measureGroup="0" dimension="0"/>
    <map measureGroup="1" dimension="0"/>
    <map measureGroup="1" dimension="1"/>
    <map measureGroup="1" dimension="2"/>
    <map measureGroup="1" dimension="4"/>
    <map measureGroup="2" dimension="2"/>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995.330201273151" backgroundQuery="1" createdVersion="8" refreshedVersion="8" minRefreshableVersion="3" recordCount="0" supportSubquery="1" supportAdvancedDrill="1" xr:uid="{627EAF72-3548-48D4-8C6D-04D96E4909E1}">
  <cacheSource type="external" connectionId="6"/>
  <cacheFields count="6">
    <cacheField name="[Downtime_Factors].[Description].[Description]" caption="Description" numFmtId="0" hierarchy="1" level="1">
      <sharedItems count="11">
        <s v="Batch Coding Error"/>
        <s v="Inventory Shortage"/>
        <s v="Labeling Error"/>
        <s v="Machine Adjustment"/>
        <s v="Machine Failure"/>
        <s v="Other"/>
        <s v="Batch Change"/>
        <s v="Calibration Error"/>
        <s v="Conveyor Belt Jam"/>
        <s v="Label Switch"/>
        <s v="Product Spill"/>
      </sharedItems>
    </cacheField>
    <cacheField name="[Measures].[Total Downtime]" caption="Total Downtime" numFmtId="0" hierarchy="26" level="32767"/>
    <cacheField name="[Line_Downtime].[Batch].[Batch]" caption="Batch" numFmtId="0" hierarchy="3" level="1">
      <sharedItems count="35">
        <s v="422144"/>
        <s v="422148"/>
        <s v="422147"/>
        <s v="422145"/>
        <s v="422146"/>
        <s v="422130"/>
        <s v="422126"/>
        <s v="422131"/>
        <s v="422120"/>
        <s v="422119"/>
        <s v="422123"/>
        <s v="422118"/>
        <s v="422125"/>
        <s v="422124"/>
        <s v="422127"/>
        <s v="422121"/>
        <s v="422122"/>
        <s v="422128"/>
        <s v="422129"/>
        <s v="422134"/>
        <s v="422135"/>
        <s v="422133"/>
        <s v="422112"/>
        <s v="422113"/>
        <s v="422117"/>
        <s v="422115"/>
        <s v="422114"/>
        <s v="422111"/>
        <s v="422137"/>
        <s v="422139"/>
        <s v="422140"/>
        <s v="422138"/>
        <s v="422142"/>
        <s v="422143"/>
        <s v="422141"/>
      </sharedItems>
    </cacheField>
    <cacheField name="[Product].[Product].[Product]" caption="Product" numFmtId="0" hierarchy="18" level="1">
      <sharedItems count="6">
        <s v="CO-2L"/>
        <s v="CO-600"/>
        <s v="DC-600"/>
        <s v="LE-600"/>
        <s v="OR-600"/>
        <s v="RB-600"/>
      </sharedItems>
    </cacheField>
    <cacheField name="[Measures].[Count of Downtime]" caption="Count of Downtime" numFmtId="0" hierarchy="50" level="32767"/>
    <cacheField name="[Line_Productivity].[Year].[Year]" caption="Year" numFmtId="0" hierarchy="9" level="1">
      <sharedItems containsSemiMixedTypes="0" containsNonDate="0" containsString="0"/>
    </cacheField>
  </cacheFields>
  <cacheHierarchies count="51">
    <cacheHierarchy uniqueName="[Downtime_Factors].[Factor]" caption="Factor" attribute="1" defaultMemberUniqueName="[Downtime_Factors].[Factor].[All]" allUniqueName="[Downtime_Factors].[Factor].[All]" dimensionUniqueName="[Downtime_Factors]" displayFolder="" count="0" memberValueDatatype="20" unbalanced="0"/>
    <cacheHierarchy uniqueName="[Downtime_Factors].[Description]" caption="Description" attribute="1" defaultMemberUniqueName="[Downtime_Factors].[Description].[All]" allUniqueName="[Downtime_Factors].[Description].[All]" dimensionUniqueName="[Downtime_Factors]" displayFolder="" count="2" memberValueDatatype="130" unbalanced="0">
      <fieldsUsage count="2">
        <fieldUsage x="-1"/>
        <fieldUsage x="0"/>
      </fieldsUsage>
    </cacheHierarchy>
    <cacheHierarchy uniqueName="[Downtime_Factors].[Operator Error]" caption="Operator Error" attribute="1" defaultMemberUniqueName="[Downtime_Factors].[Operator Error].[All]" allUniqueName="[Downtime_Factors].[Operator Error].[All]" dimensionUniqueName="[Downtime_Factors]" displayFolder="" count="2" memberValueDatatype="130" unbalanced="0"/>
    <cacheHierarchy uniqueName="[Line_Downtime].[Batch]" caption="Batch" attribute="1" defaultMemberUniqueName="[Line_Downtime].[Batch].[All]" allUniqueName="[Line_Downtime].[Batch].[All]" dimensionUniqueName="[Line_Downtime]" displayFolder="" count="2" memberValueDatatype="130" unbalanced="0">
      <fieldsUsage count="2">
        <fieldUsage x="-1"/>
        <fieldUsage x="2"/>
      </fieldsUsage>
    </cacheHierarchy>
    <cacheHierarchy uniqueName="[Line_Downtime].[Factor]" caption="Factor" attribute="1" defaultMemberUniqueName="[Line_Downtime].[Factor].[All]" allUniqueName="[Line_Downtime].[Factor].[All]" dimensionUniqueName="[Line_Downtime]" displayFolder="" count="0" memberValueDatatype="130" unbalanced="0"/>
    <cacheHierarchy uniqueName="[Line_Downtime].[Downtime]" caption="Downtime" attribute="1" defaultMemberUniqueName="[Line_Downtime].[Downtime].[All]" allUniqueName="[Line_Downtime].[Downtime].[All]" dimensionUniqueName="[Line_Downtime]" displayFolder="" count="0" memberValueDatatype="5" unbalanced="0"/>
    <cacheHierarchy uniqueName="[Line_Productivity].[Date]" caption="Date" attribute="1" time="1" defaultMemberUniqueName="[Line_Productivity].[Date].[All]" allUniqueName="[Line_Productivity].[Date].[All]" dimensionUniqueName="[Line_Productivity]" displayFolder="" count="0" memberValueDatatype="7" unbalanced="0"/>
    <cacheHierarchy uniqueName="[Line_Productivity].[Month]" caption="Month" attribute="1" defaultMemberUniqueName="[Line_Productivity].[Month].[All]" allUniqueName="[Line_Productivity].[Month].[All]" dimensionUniqueName="[Line_Productivity]" displayFolder="" count="2" memberValueDatatype="130" unbalanced="0"/>
    <cacheHierarchy uniqueName="[Line_Productivity].[Day]" caption="Day" attribute="1" defaultMemberUniqueName="[Line_Productivity].[Day].[All]" allUniqueName="[Line_Productivity].[Day].[All]" dimensionUniqueName="[Line_Productivity]" displayFolder="" count="0" memberValueDatatype="130" unbalanced="0"/>
    <cacheHierarchy uniqueName="[Line_Productivity].[Year]" caption="Year" attribute="1" defaultMemberUniqueName="[Line_Productivity].[Year].[All]" allUniqueName="[Line_Productivity].[Year].[All]" dimensionUniqueName="[Line_Productivity]" displayFolder="" count="2" memberValueDatatype="130" unbalanced="0">
      <fieldsUsage count="2">
        <fieldUsage x="-1"/>
        <fieldUsage x="5"/>
      </fieldsUsage>
    </cacheHierarchy>
    <cacheHierarchy uniqueName="[Line_Productivity].[Product]" caption="Product" attribute="1" defaultMemberUniqueName="[Line_Productivity].[Product].[All]" allUniqueName="[Line_Productivity].[Product].[All]" dimensionUniqueName="[Line_Productivity]" displayFolder="" count="0" memberValueDatatype="130" unbalanced="0"/>
    <cacheHierarchy uniqueName="[Line_Productivity].[Batch]" caption="Batch" attribute="1" defaultMemberUniqueName="[Line_Productivity].[Batch].[All]" allUniqueName="[Line_Productivity].[Batch].[All]" dimensionUniqueName="[Line_Productivity]" displayFolder="" count="0" memberValueDatatype="130" unbalanced="0"/>
    <cacheHierarchy uniqueName="[Line_Productivity].[Operator]" caption="Operator" attribute="1" defaultMemberUniqueName="[Line_Productivity].[Operator].[All]" allUniqueName="[Line_Productivity].[Operator].[All]" dimensionUniqueName="[Line_Productivity]" displayFolder="" count="2" memberValueDatatype="130" unbalanced="0"/>
    <cacheHierarchy uniqueName="[Line_Productivity].[Start Time]" caption="Start Time" attribute="1" time="1" defaultMemberUniqueName="[Line_Productivity].[Start Time].[All]" allUniqueName="[Line_Productivity].[Start Time].[All]" dimensionUniqueName="[Line_Productivity]" displayFolder="" count="0" memberValueDatatype="7" unbalanced="0"/>
    <cacheHierarchy uniqueName="[Line_Productivity].[End Time]" caption="End Time" attribute="1" time="1" defaultMemberUniqueName="[Line_Productivity].[End Time].[All]" allUniqueName="[Line_Productivity].[End Time].[All]" dimensionUniqueName="[Line_Productivity]" displayFolder="" count="0" memberValueDatatype="7" unbalanced="0"/>
    <cacheHierarchy uniqueName="[Line_Productivity].[Worked Hours]" caption="Worked Hours" attribute="1" defaultMemberUniqueName="[Line_Productivity].[Worked Hours].[All]" allUniqueName="[Line_Productivity].[Worked Hours].[All]" dimensionUniqueName="[Line_Productivity]" displayFolder="" count="0" memberValueDatatype="5" unbalanced="0"/>
    <cacheHierarchy uniqueName="[Line_Productivity].[Min Batch Time]" caption="Min Batch Time" attribute="1" defaultMemberUniqueName="[Line_Productivity].[Min Batch Time].[All]" allUniqueName="[Line_Productivity].[Min Batch Time].[All]" dimensionUniqueName="[Line_Productivity]" displayFolder="" count="0" memberValueDatatype="5" unbalanced="0"/>
    <cacheHierarchy uniqueName="[Line_Productivity].[Date (Month)]" caption="Date (Month)" attribute="1" defaultMemberUniqueName="[Line_Productivity].[Date (Month)].[All]" allUniqueName="[Line_Productivity].[Date (Month)].[All]" dimensionUniqueName="[Line_Productivity]" displayFolder="" count="0" memberValueDatatype="130" unbalanced="0"/>
    <cacheHierarchy uniqueName="[Product].[Product]" caption="Product" attribute="1" defaultMemberUniqueName="[Product].[Product].[All]" allUniqueName="[Product].[Product].[All]" dimensionUniqueName="[Product]" displayFolder="" count="2" memberValueDatatype="130" unbalanced="0">
      <fieldsUsage count="2">
        <fieldUsage x="-1"/>
        <fieldUsage x="3"/>
      </fieldsUsage>
    </cacheHierarchy>
    <cacheHierarchy uniqueName="[Product].[Flavor]" caption="Flavor" attribute="1" defaultMemberUniqueName="[Product].[Flavor].[All]" allUniqueName="[Product].[Flavor].[All]" dimensionUniqueName="[Product]" displayFolder="" count="0" memberValueDatatype="130" unbalanced="0"/>
    <cacheHierarchy uniqueName="[Product].[Size]" caption="Size" attribute="1" defaultMemberUniqueName="[Product].[Size].[All]" allUniqueName="[Product].[Size].[All]" dimensionUniqueName="[Product]" displayFolder="" count="0" memberValueDatatype="130" unbalanced="0"/>
    <cacheHierarchy uniqueName="[Product].[Min batch time]" caption="Min batch time" attribute="1" defaultMemberUniqueName="[Product].[Min batch time].[All]" allUniqueName="[Product].[Min batch time].[All]" dimensionUniqueName="[Product]" displayFolder="" count="0" memberValueDatatype="5" unbalanced="0"/>
    <cacheHierarchy uniqueName="[Line_Productivity].[Date (Month Index)]" caption="Date (Month Index)" attribute="1" defaultMemberUniqueName="[Line_Productivity].[Date (Month Index)].[All]" allUniqueName="[Line_Productivity].[Date (Month Index)].[All]" dimensionUniqueName="[Line_Productivity]" displayFolder="" count="0" memberValueDatatype="20" unbalanced="0" hidden="1"/>
    <cacheHierarchy uniqueName="[Measures].[Total Worked Hours]" caption="Total Worked Hours" measure="1" displayFolder="" measureGroup="Line_Productivity" count="0"/>
    <cacheHierarchy uniqueName="[Measures].[Total Min Batch Time]" caption="Total Min Batch Time" measure="1" displayFolder="" measureGroup="Line_Productivity" count="0"/>
    <cacheHierarchy uniqueName="[Measures].[Line Eff %]" caption="Line Eff %" measure="1" displayFolder="" measureGroup="Line_Productivity" count="0"/>
    <cacheHierarchy uniqueName="[Measures].[Total Downtime]" caption="Total Downtime" measure="1" displayFolder="" measureGroup="Line_Productivity" count="0" oneField="1">
      <fieldsUsage count="1">
        <fieldUsage x="1"/>
      </fieldsUsage>
    </cacheHierarchy>
    <cacheHierarchy uniqueName="[Measures].[Line ineff %]" caption="Line ineff %" measure="1" displayFolder="" measureGroup="Line_Productivity" count="0"/>
    <cacheHierarchy uniqueName="[Measures].[DOWNTIME RATIO]" caption="DOWNTIME RATIO" measure="1" displayFolder="" measureGroup="Line_Productivity" count="0"/>
    <cacheHierarchy uniqueName="[Measures].[STANDARD TIME RATIO]" caption="STANDARD TIME RATIO" measure="1" displayFolder="" measureGroup="Line_Productivity" count="0"/>
    <cacheHierarchy uniqueName="[Measures].[Total Batch Count]" caption="Total Batch Count" measure="1" displayFolder="" measureGroup="Line_Productivity" count="0"/>
    <cacheHierarchy uniqueName="[Measures].[AVE BATCH DOWNTIME]" caption="AVE BATCH DOWNTIME" measure="1" displayFolder="" measureGroup="Line_Productivity" count="0"/>
    <cacheHierarchy uniqueName="[Measures].[RATIO]" caption="RATIO" measure="1" displayFolder="" measureGroup="Line_Productivity" count="0"/>
    <cacheHierarchy uniqueName="[Measures].[ STANDARD TIME RATIO]" caption=" STANDARD TIME RATIO" measure="1" displayFolder="" measureGroup="Line_Productivity" count="0"/>
    <cacheHierarchy uniqueName="[Measures].[__XL_Count Product]" caption="__XL_Count Product" measure="1" displayFolder="" measureGroup="Product" count="0" hidden="1"/>
    <cacheHierarchy uniqueName="[Measures].[__XL_Count Downtime_Factors]" caption="__XL_Count Downtime_Factors" measure="1" displayFolder="" measureGroup="Downtime_Factors" count="0" hidden="1"/>
    <cacheHierarchy uniqueName="[Measures].[__XL_Count Line_Downtime]" caption="__XL_Count Line_Downtime" measure="1" displayFolder="" measureGroup="Line_Downtime" count="0" hidden="1"/>
    <cacheHierarchy uniqueName="[Measures].[__XL_Count Line_Productivity]" caption="__XL_Count Line_Productivity" measure="1" displayFolder="" measureGroup="Line_Productivity" count="0" hidden="1"/>
    <cacheHierarchy uniqueName="[Measures].[__No measures defined]" caption="__No measures defined" measure="1" displayFolder="" count="0" hidden="1"/>
    <cacheHierarchy uniqueName="[Measures].[Sum of Min batch time]" caption="Sum of Min batch time" measure="1" displayFolder="" measureGroup="Product" count="0" hidden="1">
      <extLst>
        <ext xmlns:x15="http://schemas.microsoft.com/office/spreadsheetml/2010/11/main" uri="{B97F6D7D-B522-45F9-BDA1-12C45D357490}">
          <x15:cacheHierarchy aggregatedColumn="21"/>
        </ext>
      </extLst>
    </cacheHierarchy>
    <cacheHierarchy uniqueName="[Measures].[Sum of Min Batch Time 2]" caption="Sum of Min Batch Time 2" measure="1" displayFolder="" measureGroup="Line_Productivity" count="0" hidden="1">
      <extLst>
        <ext xmlns:x15="http://schemas.microsoft.com/office/spreadsheetml/2010/11/main" uri="{B97F6D7D-B522-45F9-BDA1-12C45D357490}">
          <x15:cacheHierarchy aggregatedColumn="16"/>
        </ext>
      </extLst>
    </cacheHierarchy>
    <cacheHierarchy uniqueName="[Measures].[Sum of Worked Hours]" caption="Sum of Worked Hours" measure="1" displayFolder="" measureGroup="Line_Productivity" count="0" hidden="1">
      <extLst>
        <ext xmlns:x15="http://schemas.microsoft.com/office/spreadsheetml/2010/11/main" uri="{B97F6D7D-B522-45F9-BDA1-12C45D357490}">
          <x15:cacheHierarchy aggregatedColumn="15"/>
        </ext>
      </extLst>
    </cacheHierarchy>
    <cacheHierarchy uniqueName="[Measures].[Sum of Downtime]" caption="Sum of Downtime" measure="1" displayFolder="" measureGroup="Line_Downtime" count="0" hidden="1">
      <extLst>
        <ext xmlns:x15="http://schemas.microsoft.com/office/spreadsheetml/2010/11/main" uri="{B97F6D7D-B522-45F9-BDA1-12C45D357490}">
          <x15:cacheHierarchy aggregatedColumn="5"/>
        </ext>
      </extLst>
    </cacheHierarchy>
    <cacheHierarchy uniqueName="[Measures].[Count of Description]" caption="Count of Description" measure="1" displayFolder="" measureGroup="Downtime_Factors" count="0" hidden="1">
      <extLst>
        <ext xmlns:x15="http://schemas.microsoft.com/office/spreadsheetml/2010/11/main" uri="{B97F6D7D-B522-45F9-BDA1-12C45D357490}">
          <x15:cacheHierarchy aggregatedColumn="1"/>
        </ext>
      </extLst>
    </cacheHierarchy>
    <cacheHierarchy uniqueName="[Measures].[Count of Operator Error]" caption="Count of Operator Error" measure="1" displayFolder="" measureGroup="Downtime_Factors" count="0" hidden="1">
      <extLst>
        <ext xmlns:x15="http://schemas.microsoft.com/office/spreadsheetml/2010/11/main" uri="{B97F6D7D-B522-45F9-BDA1-12C45D357490}">
          <x15:cacheHierarchy aggregatedColumn="2"/>
        </ext>
      </extLst>
    </cacheHierarchy>
    <cacheHierarchy uniqueName="[Measures].[Count of Factor]" caption="Count of Factor" measure="1" displayFolder="" measureGroup="Line_Downtime" count="0" hidden="1">
      <extLst>
        <ext xmlns:x15="http://schemas.microsoft.com/office/spreadsheetml/2010/11/main" uri="{B97F6D7D-B522-45F9-BDA1-12C45D357490}">
          <x15:cacheHierarchy aggregatedColumn="4"/>
        </ext>
      </extLst>
    </cacheHierarchy>
    <cacheHierarchy uniqueName="[Measures].[Count of Batch]" caption="Count of Batch" measure="1" displayFolder="" measureGroup="Line_Productivity" count="0" hidden="1">
      <extLst>
        <ext xmlns:x15="http://schemas.microsoft.com/office/spreadsheetml/2010/11/main" uri="{B97F6D7D-B522-45F9-BDA1-12C45D357490}">
          <x15:cacheHierarchy aggregatedColumn="11"/>
        </ext>
      </extLst>
    </cacheHierarchy>
    <cacheHierarchy uniqueName="[Measures].[Count of Batch 2]" caption="Count of Batch 2" measure="1" displayFolder="" measureGroup="Line_Downtime" count="0" hidden="1">
      <extLst>
        <ext xmlns:x15="http://schemas.microsoft.com/office/spreadsheetml/2010/11/main" uri="{B97F6D7D-B522-45F9-BDA1-12C45D357490}">
          <x15:cacheHierarchy aggregatedColumn="3"/>
        </ext>
      </extLst>
    </cacheHierarchy>
    <cacheHierarchy uniqueName="[Measures].[Count of Product]" caption="Count of Product" measure="1" displayFolder="" measureGroup="Line_Productivity" count="0" hidden="1">
      <extLst>
        <ext xmlns:x15="http://schemas.microsoft.com/office/spreadsheetml/2010/11/main" uri="{B97F6D7D-B522-45F9-BDA1-12C45D357490}">
          <x15:cacheHierarchy aggregatedColumn="10"/>
        </ext>
      </extLst>
    </cacheHierarchy>
    <cacheHierarchy uniqueName="[Measures].[Sum of Factor]" caption="Sum of Factor" measure="1" displayFolder="" measureGroup="Downtime_Factors" count="0" hidden="1">
      <extLst>
        <ext xmlns:x15="http://schemas.microsoft.com/office/spreadsheetml/2010/11/main" uri="{B97F6D7D-B522-45F9-BDA1-12C45D357490}">
          <x15:cacheHierarchy aggregatedColumn="0"/>
        </ext>
      </extLst>
    </cacheHierarchy>
    <cacheHierarchy uniqueName="[Measures].[Count of Downtime]" caption="Count of Downtime" measure="1" displayFolder="" measureGroup="Line_Downtime" count="0" oneField="1" hidden="1">
      <fieldsUsage count="1">
        <fieldUsage x="4"/>
      </fieldsUsage>
      <extLst>
        <ext xmlns:x15="http://schemas.microsoft.com/office/spreadsheetml/2010/11/main" uri="{B97F6D7D-B522-45F9-BDA1-12C45D357490}">
          <x15:cacheHierarchy aggregatedColumn="5"/>
        </ext>
      </extLst>
    </cacheHierarchy>
  </cacheHierarchies>
  <kpis count="0"/>
  <dimensions count="5">
    <dimension name="Downtime_Factors" uniqueName="[Downtime_Factors]" caption="Downtime_Factors"/>
    <dimension name="Line_Downtime" uniqueName="[Line_Downtime]" caption="Line_Downtime"/>
    <dimension name="Line_Productivity" uniqueName="[Line_Productivity]" caption="Line_Productivity"/>
    <dimension measure="1" name="Measures" uniqueName="[Measures]" caption="Measures"/>
    <dimension name="Product" uniqueName="[Product]" caption="Product"/>
  </dimensions>
  <measureGroups count="4">
    <measureGroup name="Downtime_Factors" caption="Downtime_Factors"/>
    <measureGroup name="Line_Downtime" caption="Line_Downtime"/>
    <measureGroup name="Line_Productivity" caption="Line_Productivity"/>
    <measureGroup name="Product" caption="Product"/>
  </measureGroups>
  <maps count="8">
    <map measureGroup="0" dimension="0"/>
    <map measureGroup="1" dimension="0"/>
    <map measureGroup="1" dimension="1"/>
    <map measureGroup="1" dimension="2"/>
    <map measureGroup="1" dimension="4"/>
    <map measureGroup="2" dimension="2"/>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808.492818402781" backgroundQuery="1" createdVersion="3" refreshedVersion="8" minRefreshableVersion="3" recordCount="0" supportSubquery="1" supportAdvancedDrill="1" xr:uid="{C7745EF7-AA35-4E72-831A-9B4D7A04FEC0}">
  <cacheSource type="external" connectionId="6">
    <extLst>
      <ext xmlns:x14="http://schemas.microsoft.com/office/spreadsheetml/2009/9/main" uri="{F057638F-6D5F-4e77-A914-E7F072B9BCA8}">
        <x14:sourceConnection name="ThisWorkbookDataModel"/>
      </ext>
    </extLst>
  </cacheSource>
  <cacheFields count="0"/>
  <cacheHierarchies count="51">
    <cacheHierarchy uniqueName="[Downtime_Factors].[Factor]" caption="Factor" attribute="1" defaultMemberUniqueName="[Downtime_Factors].[Factor].[All]" allUniqueName="[Downtime_Factors].[Factor].[All]" dimensionUniqueName="[Downtime_Factors]" displayFolder="" count="0" memberValueDatatype="20" unbalanced="0"/>
    <cacheHierarchy uniqueName="[Downtime_Factors].[Description]" caption="Description" attribute="1" defaultMemberUniqueName="[Downtime_Factors].[Description].[All]" allUniqueName="[Downtime_Factors].[Description].[All]" dimensionUniqueName="[Downtime_Factors]" displayFolder="" count="0" memberValueDatatype="130" unbalanced="0"/>
    <cacheHierarchy uniqueName="[Downtime_Factors].[Operator Error]" caption="Operator Error" attribute="1" defaultMemberUniqueName="[Downtime_Factors].[Operator Error].[All]" allUniqueName="[Downtime_Factors].[Operator Error].[All]" dimensionUniqueName="[Downtime_Factors]" displayFolder="" count="2" memberValueDatatype="130" unbalanced="0"/>
    <cacheHierarchy uniqueName="[Line_Downtime].[Batch]" caption="Batch" attribute="1" defaultMemberUniqueName="[Line_Downtime].[Batch].[All]" allUniqueName="[Line_Downtime].[Batch].[All]" dimensionUniqueName="[Line_Downtime]" displayFolder="" count="0" memberValueDatatype="130" unbalanced="0"/>
    <cacheHierarchy uniqueName="[Line_Downtime].[Factor]" caption="Factor" attribute="1" defaultMemberUniqueName="[Line_Downtime].[Factor].[All]" allUniqueName="[Line_Downtime].[Factor].[All]" dimensionUniqueName="[Line_Downtime]" displayFolder="" count="0" memberValueDatatype="130" unbalanced="0"/>
    <cacheHierarchy uniqueName="[Line_Downtime].[Downtime]" caption="Downtime" attribute="1" defaultMemberUniqueName="[Line_Downtime].[Downtime].[All]" allUniqueName="[Line_Downtime].[Downtime].[All]" dimensionUniqueName="[Line_Downtime]" displayFolder="" count="0" memberValueDatatype="5" unbalanced="0"/>
    <cacheHierarchy uniqueName="[Line_Productivity].[Date]" caption="Date" attribute="1" time="1" defaultMemberUniqueName="[Line_Productivity].[Date].[All]" allUniqueName="[Line_Productivity].[Date].[All]" dimensionUniqueName="[Line_Productivity]" displayFolder="" count="0" memberValueDatatype="7" unbalanced="0"/>
    <cacheHierarchy uniqueName="[Line_Productivity].[Month]" caption="Month" attribute="1" defaultMemberUniqueName="[Line_Productivity].[Month].[All]" allUniqueName="[Line_Productivity].[Month].[All]" dimensionUniqueName="[Line_Productivity]" displayFolder="" count="2" memberValueDatatype="130" unbalanced="0"/>
    <cacheHierarchy uniqueName="[Line_Productivity].[Day]" caption="Day" attribute="1" defaultMemberUniqueName="[Line_Productivity].[Day].[All]" allUniqueName="[Line_Productivity].[Day].[All]" dimensionUniqueName="[Line_Productivity]" displayFolder="" count="0" memberValueDatatype="130" unbalanced="0"/>
    <cacheHierarchy uniqueName="[Line_Productivity].[Year]" caption="Year" attribute="1" defaultMemberUniqueName="[Line_Productivity].[Year].[All]" allUniqueName="[Line_Productivity].[Year].[All]" dimensionUniqueName="[Line_Productivity]" displayFolder="" count="2" memberValueDatatype="130" unbalanced="0"/>
    <cacheHierarchy uniqueName="[Line_Productivity].[Product]" caption="Product" attribute="1" defaultMemberUniqueName="[Line_Productivity].[Product].[All]" allUniqueName="[Line_Productivity].[Product].[All]" dimensionUniqueName="[Line_Productivity]" displayFolder="" count="0" memberValueDatatype="130" unbalanced="0"/>
    <cacheHierarchy uniqueName="[Line_Productivity].[Batch]" caption="Batch" attribute="1" defaultMemberUniqueName="[Line_Productivity].[Batch].[All]" allUniqueName="[Line_Productivity].[Batch].[All]" dimensionUniqueName="[Line_Productivity]" displayFolder="" count="0" memberValueDatatype="130" unbalanced="0"/>
    <cacheHierarchy uniqueName="[Line_Productivity].[Operator]" caption="Operator" attribute="1" defaultMemberUniqueName="[Line_Productivity].[Operator].[All]" allUniqueName="[Line_Productivity].[Operator].[All]" dimensionUniqueName="[Line_Productivity]" displayFolder="" count="2" memberValueDatatype="130" unbalanced="0"/>
    <cacheHierarchy uniqueName="[Line_Productivity].[Start Time]" caption="Start Time" attribute="1" time="1" defaultMemberUniqueName="[Line_Productivity].[Start Time].[All]" allUniqueName="[Line_Productivity].[Start Time].[All]" dimensionUniqueName="[Line_Productivity]" displayFolder="" count="0" memberValueDatatype="7" unbalanced="0"/>
    <cacheHierarchy uniqueName="[Line_Productivity].[End Time]" caption="End Time" attribute="1" time="1" defaultMemberUniqueName="[Line_Productivity].[End Time].[All]" allUniqueName="[Line_Productivity].[End Time].[All]" dimensionUniqueName="[Line_Productivity]" displayFolder="" count="0" memberValueDatatype="7" unbalanced="0"/>
    <cacheHierarchy uniqueName="[Line_Productivity].[Worked Hours]" caption="Worked Hours" attribute="1" defaultMemberUniqueName="[Line_Productivity].[Worked Hours].[All]" allUniqueName="[Line_Productivity].[Worked Hours].[All]" dimensionUniqueName="[Line_Productivity]" displayFolder="" count="0" memberValueDatatype="5" unbalanced="0"/>
    <cacheHierarchy uniqueName="[Line_Productivity].[Min Batch Time]" caption="Min Batch Time" attribute="1" defaultMemberUniqueName="[Line_Productivity].[Min Batch Time].[All]" allUniqueName="[Line_Productivity].[Min Batch Time].[All]" dimensionUniqueName="[Line_Productivity]" displayFolder="" count="0" memberValueDatatype="5" unbalanced="0"/>
    <cacheHierarchy uniqueName="[Line_Productivity].[Date (Month)]" caption="Date (Month)" attribute="1" defaultMemberUniqueName="[Line_Productivity].[Date (Month)].[All]" allUniqueName="[Line_Productivity].[Date (Month)].[All]" dimensionUniqueName="[Line_Productivity]" displayFolder="" count="0" memberValueDatatype="130" unbalanced="0"/>
    <cacheHierarchy uniqueName="[Product].[Product]" caption="Product" attribute="1" defaultMemberUniqueName="[Product].[Product].[All]" allUniqueName="[Product].[Product].[All]" dimensionUniqueName="[Product]" displayFolder="" count="0" memberValueDatatype="130" unbalanced="0"/>
    <cacheHierarchy uniqueName="[Product].[Flavor]" caption="Flavor" attribute="1" defaultMemberUniqueName="[Product].[Flavor].[All]" allUniqueName="[Product].[Flavor].[All]" dimensionUniqueName="[Product]" displayFolder="" count="0" memberValueDatatype="130" unbalanced="0"/>
    <cacheHierarchy uniqueName="[Product].[Size]" caption="Size" attribute="1" defaultMemberUniqueName="[Product].[Size].[All]" allUniqueName="[Product].[Size].[All]" dimensionUniqueName="[Product]" displayFolder="" count="0" memberValueDatatype="130" unbalanced="0"/>
    <cacheHierarchy uniqueName="[Product].[Min batch time]" caption="Min batch time" attribute="1" defaultMemberUniqueName="[Product].[Min batch time].[All]" allUniqueName="[Product].[Min batch time].[All]" dimensionUniqueName="[Product]" displayFolder="" count="0" memberValueDatatype="5" unbalanced="0"/>
    <cacheHierarchy uniqueName="[Line_Productivity].[Date (Month Index)]" caption="Date (Month Index)" attribute="1" defaultMemberUniqueName="[Line_Productivity].[Date (Month Index)].[All]" allUniqueName="[Line_Productivity].[Date (Month Index)].[All]" dimensionUniqueName="[Line_Productivity]" displayFolder="" count="0" memberValueDatatype="20" unbalanced="0" hidden="1"/>
    <cacheHierarchy uniqueName="[Measures].[Total Worked Hours]" caption="Total Worked Hours" measure="1" displayFolder="" measureGroup="Line_Productivity" count="0"/>
    <cacheHierarchy uniqueName="[Measures].[Total Min Batch Time]" caption="Total Min Batch Time" measure="1" displayFolder="" measureGroup="Line_Productivity" count="0"/>
    <cacheHierarchy uniqueName="[Measures].[Line Eff %]" caption="Line Eff %" measure="1" displayFolder="" measureGroup="Line_Productivity" count="0"/>
    <cacheHierarchy uniqueName="[Measures].[Total Downtime]" caption="Total Downtime" measure="1" displayFolder="" measureGroup="Line_Productivity" count="0"/>
    <cacheHierarchy uniqueName="[Measures].[Line ineff %]" caption="Line ineff %" measure="1" displayFolder="" measureGroup="Line_Productivity" count="0"/>
    <cacheHierarchy uniqueName="[Measures].[DOWNTIME RATIO]" caption="DOWNTIME RATIO" measure="1" displayFolder="" measureGroup="Line_Productivity" count="0"/>
    <cacheHierarchy uniqueName="[Measures].[STANDARD TIME RATIO]" caption="STANDARD TIME RATIO" measure="1" displayFolder="" measureGroup="Line_Productivity" count="0"/>
    <cacheHierarchy uniqueName="[Measures].[Total Batch Count]" caption="Total Batch Count" measure="1" displayFolder="" measureGroup="Line_Productivity" count="0"/>
    <cacheHierarchy uniqueName="[Measures].[AVE BATCH DOWNTIME]" caption="AVE BATCH DOWNTIME" measure="1" displayFolder="" measureGroup="Line_Productivity" count="0"/>
    <cacheHierarchy uniqueName="[Measures].[RATIO]" caption="RATIO" measure="1" displayFolder="" measureGroup="Line_Productivity" count="0"/>
    <cacheHierarchy uniqueName="[Measures].[ STANDARD TIME RATIO]" caption=" STANDARD TIME RATIO" measure="1" displayFolder="" measureGroup="Line_Productivity" count="0"/>
    <cacheHierarchy uniqueName="[Measures].[__XL_Count Product]" caption="__XL_Count Product" measure="1" displayFolder="" measureGroup="Product" count="0" hidden="1"/>
    <cacheHierarchy uniqueName="[Measures].[__XL_Count Downtime_Factors]" caption="__XL_Count Downtime_Factors" measure="1" displayFolder="" measureGroup="Downtime_Factors" count="0" hidden="1"/>
    <cacheHierarchy uniqueName="[Measures].[__XL_Count Line_Downtime]" caption="__XL_Count Line_Downtime" measure="1" displayFolder="" measureGroup="Line_Downtime" count="0" hidden="1"/>
    <cacheHierarchy uniqueName="[Measures].[__XL_Count Line_Productivity]" caption="__XL_Count Line_Productivity" measure="1" displayFolder="" measureGroup="Line_Productivity" count="0" hidden="1"/>
    <cacheHierarchy uniqueName="[Measures].[__No measures defined]" caption="__No measures defined" measure="1" displayFolder="" count="0" hidden="1"/>
    <cacheHierarchy uniqueName="[Measures].[Sum of Min batch time]" caption="Sum of Min batch time" measure="1" displayFolder="" measureGroup="Product" count="0" hidden="1">
      <extLst>
        <ext xmlns:x15="http://schemas.microsoft.com/office/spreadsheetml/2010/11/main" uri="{B97F6D7D-B522-45F9-BDA1-12C45D357490}">
          <x15:cacheHierarchy aggregatedColumn="21"/>
        </ext>
      </extLst>
    </cacheHierarchy>
    <cacheHierarchy uniqueName="[Measures].[Sum of Min Batch Time 2]" caption="Sum of Min Batch Time 2" measure="1" displayFolder="" measureGroup="Line_Productivity" count="0" hidden="1">
      <extLst>
        <ext xmlns:x15="http://schemas.microsoft.com/office/spreadsheetml/2010/11/main" uri="{B97F6D7D-B522-45F9-BDA1-12C45D357490}">
          <x15:cacheHierarchy aggregatedColumn="16"/>
        </ext>
      </extLst>
    </cacheHierarchy>
    <cacheHierarchy uniqueName="[Measures].[Sum of Worked Hours]" caption="Sum of Worked Hours" measure="1" displayFolder="" measureGroup="Line_Productivity" count="0" hidden="1">
      <extLst>
        <ext xmlns:x15="http://schemas.microsoft.com/office/spreadsheetml/2010/11/main" uri="{B97F6D7D-B522-45F9-BDA1-12C45D357490}">
          <x15:cacheHierarchy aggregatedColumn="15"/>
        </ext>
      </extLst>
    </cacheHierarchy>
    <cacheHierarchy uniqueName="[Measures].[Sum of Downtime]" caption="Sum of Downtime" measure="1" displayFolder="" measureGroup="Line_Downtime" count="0" hidden="1">
      <extLst>
        <ext xmlns:x15="http://schemas.microsoft.com/office/spreadsheetml/2010/11/main" uri="{B97F6D7D-B522-45F9-BDA1-12C45D357490}">
          <x15:cacheHierarchy aggregatedColumn="5"/>
        </ext>
      </extLst>
    </cacheHierarchy>
    <cacheHierarchy uniqueName="[Measures].[Count of Description]" caption="Count of Description" measure="1" displayFolder="" measureGroup="Downtime_Factors" count="0" hidden="1">
      <extLst>
        <ext xmlns:x15="http://schemas.microsoft.com/office/spreadsheetml/2010/11/main" uri="{B97F6D7D-B522-45F9-BDA1-12C45D357490}">
          <x15:cacheHierarchy aggregatedColumn="1"/>
        </ext>
      </extLst>
    </cacheHierarchy>
    <cacheHierarchy uniqueName="[Measures].[Count of Operator Error]" caption="Count of Operator Error" measure="1" displayFolder="" measureGroup="Downtime_Factors" count="0" hidden="1">
      <extLst>
        <ext xmlns:x15="http://schemas.microsoft.com/office/spreadsheetml/2010/11/main" uri="{B97F6D7D-B522-45F9-BDA1-12C45D357490}">
          <x15:cacheHierarchy aggregatedColumn="2"/>
        </ext>
      </extLst>
    </cacheHierarchy>
    <cacheHierarchy uniqueName="[Measures].[Count of Factor]" caption="Count of Factor" measure="1" displayFolder="" measureGroup="Line_Downtime" count="0" hidden="1">
      <extLst>
        <ext xmlns:x15="http://schemas.microsoft.com/office/spreadsheetml/2010/11/main" uri="{B97F6D7D-B522-45F9-BDA1-12C45D357490}">
          <x15:cacheHierarchy aggregatedColumn="4"/>
        </ext>
      </extLst>
    </cacheHierarchy>
    <cacheHierarchy uniqueName="[Measures].[Count of Batch]" caption="Count of Batch" measure="1" displayFolder="" measureGroup="Line_Productivity" count="0" hidden="1">
      <extLst>
        <ext xmlns:x15="http://schemas.microsoft.com/office/spreadsheetml/2010/11/main" uri="{B97F6D7D-B522-45F9-BDA1-12C45D357490}">
          <x15:cacheHierarchy aggregatedColumn="11"/>
        </ext>
      </extLst>
    </cacheHierarchy>
    <cacheHierarchy uniqueName="[Measures].[Count of Batch 2]" caption="Count of Batch 2" measure="1" displayFolder="" measureGroup="Line_Downtime" count="0" hidden="1">
      <extLst>
        <ext xmlns:x15="http://schemas.microsoft.com/office/spreadsheetml/2010/11/main" uri="{B97F6D7D-B522-45F9-BDA1-12C45D357490}">
          <x15:cacheHierarchy aggregatedColumn="3"/>
        </ext>
      </extLst>
    </cacheHierarchy>
    <cacheHierarchy uniqueName="[Measures].[Count of Product]" caption="Count of Product" measure="1" displayFolder="" measureGroup="Line_Productivity" count="0" hidden="1">
      <extLst>
        <ext xmlns:x15="http://schemas.microsoft.com/office/spreadsheetml/2010/11/main" uri="{B97F6D7D-B522-45F9-BDA1-12C45D357490}">
          <x15:cacheHierarchy aggregatedColumn="10"/>
        </ext>
      </extLst>
    </cacheHierarchy>
    <cacheHierarchy uniqueName="[Measures].[Sum of Factor]" caption="Sum of Factor" measure="1" displayFolder="" measureGroup="Downtime_Factors" count="0" hidden="1">
      <extLst>
        <ext xmlns:x15="http://schemas.microsoft.com/office/spreadsheetml/2010/11/main" uri="{B97F6D7D-B522-45F9-BDA1-12C45D357490}">
          <x15:cacheHierarchy aggregatedColumn="0"/>
        </ext>
      </extLst>
    </cacheHierarchy>
    <cacheHierarchy uniqueName="[Measures].[Count of Downtime]" caption="Count of Downtime" measure="1" displayFolder="" measureGroup="Line_Downtime" count="0" hidden="1">
      <extLst>
        <ext xmlns:x15="http://schemas.microsoft.com/office/spreadsheetml/2010/11/main" uri="{B97F6D7D-B522-45F9-BDA1-12C45D357490}">
          <x15:cacheHierarchy aggregatedColumn="5"/>
        </ext>
      </extLst>
    </cacheHierarchy>
  </cacheHierarchies>
  <kpis count="0"/>
  <extLst>
    <ext xmlns:x14="http://schemas.microsoft.com/office/spreadsheetml/2009/9/main" uri="{725AE2AE-9491-48be-B2B4-4EB974FC3084}">
      <x14:pivotCacheDefinition slicerData="1" pivotCacheId="2077243187"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0.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DAE84C8-7B8B-4144-977A-4660153F6B75}" name="PivotTable18" cacheId="825" applyNumberFormats="0" applyBorderFormats="0" applyFontFormats="0" applyPatternFormats="0" applyAlignmentFormats="0" applyWidthHeightFormats="1" dataCaption="Values" tag="61bd9b13-7166-4a71-bf8a-4c777a349ebd" updatedVersion="8" minRefreshableVersion="3" subtotalHiddenItems="1" colGrandTotals="0" itemPrintTitles="1" createdVersion="8" indent="0" compact="0" compactData="0" multipleFieldFilters="0" chartFormat="77">
  <location ref="Y27:Z30" firstHeaderRow="1" firstDataRow="1" firstDataCol="1"/>
  <pivotFields count="3">
    <pivotField axis="axisRow" compact="0" allDrilled="1" outline="0" subtotalTop="0" showAll="0" sortType="descending" defaultSubtotal="0" defaultAttributeDrillState="1">
      <items count="2">
        <item x="1"/>
        <item x="0"/>
      </items>
    </pivotField>
    <pivotField dataField="1" compact="0" outline="0" subtotalTop="0" showAll="0" defaultSubtotal="0"/>
    <pivotField compact="0" allDrilled="1" outline="0" subtotalTop="0" showAll="0" dataSourceSort="1" defaultSubtotal="0" defaultAttributeDrillState="1"/>
  </pivotFields>
  <rowFields count="1">
    <field x="0"/>
  </rowFields>
  <rowItems count="3">
    <i>
      <x/>
    </i>
    <i>
      <x v="1"/>
    </i>
    <i t="grand">
      <x/>
    </i>
  </rowItems>
  <colItems count="1">
    <i/>
  </colItems>
  <dataFields count="1">
    <dataField fld="1" subtotal="count" baseField="0" baseItem="0"/>
  </dataFields>
  <formats count="3">
    <format dxfId="499">
      <pivotArea type="all" dataOnly="0" outline="0" fieldPosition="0"/>
    </format>
    <format dxfId="498">
      <pivotArea outline="0" collapsedLevelsAreSubtotals="1" fieldPosition="0"/>
    </format>
    <format dxfId="497">
      <pivotArea dataOnly="0" labelOnly="1" outline="0" axis="axisValues" fieldPosition="0"/>
    </format>
  </formats>
  <pivotHierarchies count="5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caption="Standard Time"/>
    <pivotHierarchy dragToRow="0" dragToCol="0" dragToPage="0" dragToData="1"/>
    <pivotHierarchy dragToRow="0" dragToCol="0" dragToPage="0" dragToData="1"/>
    <pivotHierarchy dragToRow="0" dragToCol="0" dragToPage="0" dragToData="1"/>
    <pivotHierarchy dragToRow="0" dragToCol="0" dragToPage="0" dragToData="1" caption="DOWNTIME"/>
    <pivotHierarchy dragToRow="0" dragToCol="0" dragToPage="0" dragToData="1" caption="STANDARD TIME "/>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Worked Hours"/>
    <pivotHierarchy dragToData="1" caption=" Downtime"/>
    <pivotHierarchy dragToData="1"/>
    <pivotHierarchy dragToData="1"/>
    <pivotHierarchy dragToData="1" caption="Count of Error"/>
    <pivotHierarchy dragToData="1"/>
    <pivotHierarchy dragToData="1"/>
    <pivotHierarchy dragToData="1"/>
    <pivotHierarchy dragToData="1"/>
    <pivotHierarchy dragToData="1"/>
  </pivotHierarchies>
  <pivotTableStyleInfo name="PivotStyleMedium6"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Line_Productivity]"/>
        <x15:activeTabTopLevelEntity name="[Product]"/>
        <x15:activeTabTopLevelEntity name="[Downtime_Factors]"/>
        <x15:activeTabTopLevelEntity name="[Line_Downtim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9BA5B33-96A4-400C-B7CE-BEF9547B9368}" name="PivotTable14" cacheId="817" applyNumberFormats="0" applyBorderFormats="0" applyFontFormats="0" applyPatternFormats="0" applyAlignmentFormats="0" applyWidthHeightFormats="1" dataCaption="Values" tag="61bd9b13-7166-4a71-bf8a-4c777a349ebd" updatedVersion="8" minRefreshableVersion="3" subtotalHiddenItems="1" itemPrintTitles="1" createdVersion="8" indent="0" compact="0" compactData="0" multipleFieldFilters="0" chartFormat="77">
  <location ref="AM3:AM4" firstHeaderRow="1" firstDataRow="1" firstDataCol="0"/>
  <pivotFields count="3">
    <pivotField compact="0" allDrilled="1" outline="0" subtotalTop="0" showAll="0" sortType="descending" defaultSubtotal="0" defaultAttributeDrillState="1">
      <items count="2">
        <item x="1"/>
        <item x="0"/>
      </items>
    </pivotField>
    <pivotField dataField="1" compact="0" outline="0" subtotalTop="0" showAll="0" defaultSubtotal="0"/>
    <pivotField compact="0" allDrilled="1" outline="0" subtotalTop="0" showAll="0" dataSourceSort="1" defaultSubtotal="0" defaultAttributeDrillState="1"/>
  </pivotFields>
  <rowItems count="1">
    <i/>
  </rowItems>
  <colItems count="1">
    <i/>
  </colItems>
  <dataFields count="1">
    <dataField name="Count of Batch" fld="1" subtotal="count" baseField="0" baseItem="0"/>
  </dataFields>
  <formats count="3">
    <format dxfId="502">
      <pivotArea type="all" dataOnly="0" outline="0" fieldPosition="0"/>
    </format>
    <format dxfId="501">
      <pivotArea dataOnly="0" labelOnly="1" outline="0" axis="axisValues" fieldPosition="0"/>
    </format>
    <format dxfId="500">
      <pivotArea outline="0" collapsedLevelsAreSubtotals="1" fieldPosition="0"/>
    </format>
  </formats>
  <pivotHierarchies count="5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caption="Standard Time"/>
    <pivotHierarchy dragToRow="0" dragToCol="0" dragToPage="0" dragToData="1"/>
    <pivotHierarchy dragToRow="0" dragToCol="0" dragToPage="0" dragToData="1"/>
    <pivotHierarchy dragToRow="0" dragToCol="0" dragToPage="0" dragToData="1"/>
    <pivotHierarchy dragToRow="0" dragToCol="0" dragToPage="0" dragToData="1" caption="DOWNTIME"/>
    <pivotHierarchy dragToRow="0" dragToCol="0" dragToPage="0" dragToData="1" caption="STANDARD TIME "/>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Worked Hours"/>
    <pivotHierarchy dragToData="1" caption=" Downtime"/>
    <pivotHierarchy dragToData="1"/>
    <pivotHierarchy dragToData="1"/>
    <pivotHierarchy dragToData="1" caption="Count of Error"/>
    <pivotHierarchy dragToData="1"/>
    <pivotHierarchy dragToData="1"/>
    <pivotHierarchy dragToData="1"/>
    <pivotHierarchy dragToData="1"/>
    <pivotHierarchy dragToData="1"/>
  </pivotHierarchies>
  <pivotTableStyleInfo name="PivotStyleMedium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Line_Productivity]"/>
        <x15:activeTabTopLevelEntity name="[Product]"/>
        <x15:activeTabTopLevelEntity name="[Downtime_Factors]"/>
        <x15:activeTabTopLevelEntity name="[Line_Downtim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F8BCA8F-11AA-4FAA-A617-05CE86308C92}" name="PivotTable8" cacheId="813" dataOnRows="1" applyNumberFormats="0" applyBorderFormats="0" applyFontFormats="0" applyPatternFormats="0" applyAlignmentFormats="0" applyWidthHeightFormats="1" dataCaption="Values" tag="61b246d3-a117-4b63-86dc-4aa8fe5cd40d" updatedVersion="8" minRefreshableVersion="3" subtotalHiddenItems="1" itemPrintTitles="1" createdVersion="8" indent="0" compact="0" compactData="0" multipleFieldFilters="0" chartFormat="46">
  <location ref="C3:D5" firstHeaderRow="1" firstDataRow="1" firstDataCol="1"/>
  <pivotFields count="3">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s>
  <rowFields count="1">
    <field x="-2"/>
  </rowFields>
  <rowItems count="2">
    <i>
      <x/>
    </i>
    <i i="1">
      <x v="1"/>
    </i>
  </rowItems>
  <colItems count="1">
    <i/>
  </colItems>
  <dataFields count="2">
    <dataField fld="1" subtotal="count" baseField="0" baseItem="0"/>
    <dataField fld="0" subtotal="count" baseField="0" baseItem="0" numFmtId="9"/>
  </dataFields>
  <formats count="4">
    <format dxfId="506">
      <pivotArea dataOnly="0" labelOnly="1" outline="0" axis="axisValues" fieldPosition="0"/>
    </format>
    <format dxfId="505">
      <pivotArea outline="0" collapsedLevelsAreSubtotals="1" fieldPosition="0"/>
    </format>
    <format dxfId="504">
      <pivotArea dataOnly="0" labelOnly="1" outline="0" axis="axisValues" fieldPosition="0"/>
    </format>
    <format dxfId="503">
      <pivotArea dataOnly="0" labelOnly="1" outline="0" axis="axisValues" fieldPosition="0"/>
    </format>
  </formats>
  <chartFormats count="13">
    <chartFormat chart="12" format="22" series="1">
      <pivotArea type="data" outline="0" fieldPosition="0">
        <references count="1">
          <reference field="4294967294" count="1" selected="0">
            <x v="1"/>
          </reference>
        </references>
      </pivotArea>
    </chartFormat>
    <chartFormat chart="12" format="23">
      <pivotArea type="data" outline="0" fieldPosition="0">
        <references count="1">
          <reference field="4294967294" count="1" selected="0">
            <x v="1"/>
          </reference>
        </references>
      </pivotArea>
    </chartFormat>
    <chartFormat chart="12" format="24">
      <pivotArea type="data" outline="0" fieldPosition="0">
        <references count="1">
          <reference field="4294967294" count="1" selected="0">
            <x v="0"/>
          </reference>
        </references>
      </pivotArea>
    </chartFormat>
    <chartFormat chart="21" format="28" series="1">
      <pivotArea type="data" outline="0" fieldPosition="0">
        <references count="1">
          <reference field="4294967294" count="1" selected="0">
            <x v="1"/>
          </reference>
        </references>
      </pivotArea>
    </chartFormat>
    <chartFormat chart="21" format="29">
      <pivotArea type="data" outline="0" fieldPosition="0">
        <references count="1">
          <reference field="4294967294" count="1" selected="0">
            <x v="1"/>
          </reference>
        </references>
      </pivotArea>
    </chartFormat>
    <chartFormat chart="21" format="30">
      <pivotArea type="data" outline="0" fieldPosition="0">
        <references count="1">
          <reference field="4294967294" count="1" selected="0">
            <x v="0"/>
          </reference>
        </references>
      </pivotArea>
    </chartFormat>
    <chartFormat chart="21" format="31" series="1">
      <pivotArea type="data" outline="0" fieldPosition="0">
        <references count="1">
          <reference field="4294967294" count="1" selected="0">
            <x v="0"/>
          </reference>
        </references>
      </pivotArea>
    </chartFormat>
    <chartFormat chart="12" format="25" series="1">
      <pivotArea type="data" outline="0" fieldPosition="0">
        <references count="1">
          <reference field="4294967294" count="1" selected="0">
            <x v="0"/>
          </reference>
        </references>
      </pivotArea>
    </chartFormat>
    <chartFormat chart="32" format="0" series="1">
      <pivotArea type="data" outline="0" fieldPosition="0">
        <references count="1">
          <reference field="4294967294" count="1" selected="0">
            <x v="0"/>
          </reference>
        </references>
      </pivotArea>
    </chartFormat>
    <chartFormat chart="37" format="0" series="1">
      <pivotArea type="data" outline="0" fieldPosition="0">
        <references count="1">
          <reference field="4294967294" count="1" selected="0">
            <x v="0"/>
          </reference>
        </references>
      </pivotArea>
    </chartFormat>
    <chartFormat chart="45" format="4" series="1">
      <pivotArea type="data" outline="0" fieldPosition="0">
        <references count="1">
          <reference field="4294967294" count="1" selected="0">
            <x v="0"/>
          </reference>
        </references>
      </pivotArea>
    </chartFormat>
    <chartFormat chart="45" format="5">
      <pivotArea type="data" outline="0" fieldPosition="0">
        <references count="1">
          <reference field="4294967294" count="1" selected="0">
            <x v="0"/>
          </reference>
        </references>
      </pivotArea>
    </chartFormat>
    <chartFormat chart="45" format="6">
      <pivotArea type="data" outline="0" fieldPosition="0">
        <references count="1">
          <reference field="4294967294" count="1" selected="0">
            <x v="1"/>
          </reference>
        </references>
      </pivotArea>
    </chartFormat>
  </chartFormats>
  <pivotHierarchies count="5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Worked Hours"/>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Medium6"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Line_Productivity]"/>
        <x15:activeTabTopLevelEntity name="[Product]"/>
        <x15:activeTabTopLevelEntity name="[Downtime_Factors]"/>
        <x15:activeTabTopLevelEntity name="[Line_Downtim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6BC034B-F014-42D1-A4C0-B8FC8EC107DC}" name="PivotTable19" cacheId="827" applyNumberFormats="0" applyBorderFormats="0" applyFontFormats="0" applyPatternFormats="0" applyAlignmentFormats="0" applyWidthHeightFormats="1" dataCaption="Values" tag="61b246d3-a117-4b63-86dc-4aa8fe5cd40d" updatedVersion="8" minRefreshableVersion="3" showDrill="0" subtotalHiddenItems="1" itemPrintTitles="1" createdVersion="8" indent="0" compact="0" compactData="0" multipleFieldFilters="0">
  <location ref="AT10:AX72" firstHeaderRow="0" firstDataRow="1" firstDataCol="3"/>
  <pivotFields count="6">
    <pivotField axis="axisRow" compact="0" allDrilled="1" outline="0" subtotalTop="0" showAll="0" defaultSubtotal="0" defaultAttributeDrillState="1">
      <items count="11">
        <item x="1"/>
        <item x="3"/>
        <item x="9"/>
        <item x="7"/>
        <item x="0"/>
        <item x="4"/>
        <item x="5"/>
        <item x="2"/>
        <item x="6"/>
        <item x="8"/>
        <item x="10"/>
      </items>
    </pivotField>
    <pivotField dataField="1" compact="0" outline="0" subtotalTop="0" showAll="0" defaultSubtotal="0"/>
    <pivotField axis="axisRow" compact="0" allDrilled="1" outline="0" subtotalTop="0" showAll="0" defaultSubtotal="0" defaultAttributeDrillState="1">
      <items count="35">
        <item x="0"/>
        <item x="1"/>
        <item x="2"/>
        <item x="3"/>
        <item x="4"/>
        <item x="28"/>
        <item x="29"/>
        <item x="30"/>
        <item x="31"/>
        <item x="32"/>
        <item x="33"/>
        <item x="34"/>
        <item x="5"/>
        <item x="6"/>
        <item x="7"/>
        <item x="8"/>
        <item x="9"/>
        <item x="10"/>
        <item x="11"/>
        <item x="12"/>
        <item x="13"/>
        <item x="14"/>
        <item x="15"/>
        <item x="16"/>
        <item x="17"/>
        <item x="18"/>
        <item x="19"/>
        <item x="20"/>
        <item x="21"/>
        <item x="22"/>
        <item x="23"/>
        <item x="24"/>
        <item x="25"/>
        <item x="26"/>
        <item x="27"/>
      </items>
    </pivotField>
    <pivotField axis="axisRow" compact="0" allDrilled="1" outline="0" subtotalTop="0" showAll="0" dataSourceSort="1" defaultSubtotal="0" defaultAttributeDrillState="1">
      <items count="6">
        <item x="0"/>
        <item x="1"/>
        <item x="2"/>
        <item x="3"/>
        <item x="4"/>
        <item x="5"/>
      </items>
    </pivotField>
    <pivotField dataField="1" compact="0" outline="0" subtotalTop="0" showAll="0" defaultSubtotal="0"/>
    <pivotField compact="0" allDrilled="1" outline="0" subtotalTop="0" showAll="0" dataSourceSort="1" defaultSubtotal="0" defaultAttributeDrillState="1"/>
  </pivotFields>
  <rowFields count="3">
    <field x="3"/>
    <field x="0"/>
    <field x="2"/>
  </rowFields>
  <rowItems count="62">
    <i>
      <x/>
      <x/>
      <x v="1"/>
    </i>
    <i r="2">
      <x v="2"/>
    </i>
    <i r="1">
      <x v="1"/>
      <x/>
    </i>
    <i r="2">
      <x v="2"/>
    </i>
    <i r="2">
      <x v="4"/>
    </i>
    <i r="1">
      <x v="4"/>
      <x/>
    </i>
    <i r="2">
      <x v="1"/>
    </i>
    <i r="1">
      <x v="5"/>
      <x v="2"/>
    </i>
    <i r="2">
      <x v="4"/>
    </i>
    <i r="1">
      <x v="6"/>
      <x v="4"/>
    </i>
    <i r="1">
      <x v="7"/>
      <x v="3"/>
    </i>
    <i>
      <x v="1"/>
      <x/>
      <x v="14"/>
    </i>
    <i r="2">
      <x v="15"/>
    </i>
    <i r="2">
      <x v="16"/>
    </i>
    <i r="2">
      <x v="17"/>
    </i>
    <i r="1">
      <x v="1"/>
      <x v="18"/>
    </i>
    <i r="2">
      <x v="20"/>
    </i>
    <i r="2">
      <x v="21"/>
    </i>
    <i r="1">
      <x v="2"/>
      <x v="18"/>
    </i>
    <i r="2">
      <x v="19"/>
    </i>
    <i r="1">
      <x v="3"/>
      <x v="14"/>
    </i>
    <i r="1">
      <x v="4"/>
      <x v="13"/>
    </i>
    <i r="1">
      <x v="5"/>
      <x v="17"/>
    </i>
    <i r="2">
      <x v="18"/>
    </i>
    <i r="2">
      <x v="22"/>
    </i>
    <i r="2">
      <x v="23"/>
    </i>
    <i r="2">
      <x v="24"/>
    </i>
    <i r="1">
      <x v="6"/>
      <x v="18"/>
    </i>
    <i r="2">
      <x v="19"/>
    </i>
    <i r="2">
      <x v="25"/>
    </i>
    <i r="1">
      <x v="8"/>
      <x v="12"/>
    </i>
    <i r="1">
      <x v="9"/>
      <x v="15"/>
    </i>
    <i r="1">
      <x v="10"/>
      <x v="15"/>
    </i>
    <i r="2">
      <x v="20"/>
    </i>
    <i r="2">
      <x v="24"/>
    </i>
    <i>
      <x v="2"/>
      <x/>
      <x v="27"/>
    </i>
    <i r="1">
      <x v="4"/>
      <x v="26"/>
    </i>
    <i r="1">
      <x v="5"/>
      <x v="26"/>
    </i>
    <i r="2">
      <x v="28"/>
    </i>
    <i r="1">
      <x v="6"/>
      <x v="27"/>
    </i>
    <i>
      <x v="3"/>
      <x/>
      <x v="33"/>
    </i>
    <i r="1">
      <x v="1"/>
      <x v="31"/>
    </i>
    <i r="2">
      <x v="33"/>
    </i>
    <i r="1">
      <x v="3"/>
      <x v="32"/>
    </i>
    <i r="1">
      <x v="4"/>
      <x v="29"/>
    </i>
    <i r="1">
      <x v="8"/>
      <x v="29"/>
    </i>
    <i r="2">
      <x v="30"/>
    </i>
    <i r="2">
      <x v="31"/>
    </i>
    <i>
      <x v="4"/>
      <x v="5"/>
      <x v="34"/>
    </i>
    <i r="1">
      <x v="8"/>
      <x v="34"/>
    </i>
    <i>
      <x v="5"/>
      <x/>
      <x v="6"/>
    </i>
    <i r="1">
      <x v="1"/>
      <x v="6"/>
    </i>
    <i r="2">
      <x v="7"/>
    </i>
    <i r="2">
      <x v="9"/>
    </i>
    <i r="2">
      <x v="10"/>
    </i>
    <i r="1">
      <x v="2"/>
      <x v="7"/>
    </i>
    <i r="1">
      <x v="3"/>
      <x v="5"/>
    </i>
    <i r="1">
      <x v="4"/>
      <x v="5"/>
    </i>
    <i r="1">
      <x v="5"/>
      <x v="10"/>
    </i>
    <i r="1">
      <x v="6"/>
      <x v="11"/>
    </i>
    <i r="1">
      <x v="7"/>
      <x v="8"/>
    </i>
    <i t="grand">
      <x/>
    </i>
  </rowItems>
  <colFields count="1">
    <field x="-2"/>
  </colFields>
  <colItems count="2">
    <i>
      <x/>
    </i>
    <i i="1">
      <x v="1"/>
    </i>
  </colItems>
  <dataFields count="2">
    <dataField fld="1" subtotal="count" baseField="0" baseItem="0" numFmtId="46"/>
    <dataField name="Count of Downtime" fld="4" subtotal="count" baseField="2" baseItem="0"/>
  </dataFields>
  <formats count="5">
    <format dxfId="511">
      <pivotArea outline="0" collapsedLevelsAreSubtotals="1" fieldPosition="0"/>
    </format>
    <format dxfId="510">
      <pivotArea dataOnly="0" labelOnly="1" outline="0" axis="axisValues" fieldPosition="0"/>
    </format>
    <format dxfId="509">
      <pivotArea dataOnly="0" labelOnly="1" outline="0" axis="axisValues" fieldPosition="0"/>
    </format>
    <format dxfId="508">
      <pivotArea dataOnly="0" labelOnly="1" outline="0" axis="axisValues" fieldPosition="0"/>
    </format>
    <format dxfId="507">
      <pivotArea outline="0" fieldPosition="0">
        <references count="1">
          <reference field="4294967294" count="1" selected="0">
            <x v="0"/>
          </reference>
        </references>
      </pivotArea>
    </format>
  </formats>
  <pivotHierarchies count="5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Worked Hours"/>
    <pivotHierarchy dragToData="1"/>
    <pivotHierarchy dragToData="1"/>
    <pivotHierarchy dragToData="1"/>
    <pivotHierarchy dragToData="1" caption="Total Error"/>
    <pivotHierarchy dragToData="1"/>
    <pivotHierarchy dragToData="1"/>
    <pivotHierarchy dragToData="1"/>
    <pivotHierarchy dragToData="1"/>
    <pivotHierarchy dragToData="1" caption="Count of Downtime"/>
  </pivotHierarchies>
  <pivotTableStyleInfo name="PivotStyleLight23" showRowHeaders="1" showColHeaders="1" showRowStripes="0" showColStripes="0" showLastColumn="1"/>
  <rowHierarchiesUsage count="3">
    <rowHierarchyUsage hierarchyUsage="18"/>
    <rowHierarchyUsage hierarchyUsage="1"/>
    <rowHierarchyUsage hierarchyUsage="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Line_Productivity]"/>
        <x15:activeTabTopLevelEntity name="[Product]"/>
        <x15:activeTabTopLevelEntity name="[Downtime_Factors]"/>
        <x15:activeTabTopLevelEntity name="[Line_Downtim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722674A0-0F66-4FB3-ADFC-B5E1638EB604}" name="PivotTable6" cacheId="823" applyNumberFormats="0" applyBorderFormats="0" applyFontFormats="0" applyPatternFormats="0" applyAlignmentFormats="0" applyWidthHeightFormats="1" dataCaption="Values" tag="61bd9b13-7166-4a71-bf8a-4c777a349ebd" updatedVersion="8" minRefreshableVersion="3" subtotalHiddenItems="1" rowGrandTotals="0" colGrandTotals="0" itemPrintTitles="1" createdVersion="8" indent="0" compact="0" compactData="0" multipleFieldFilters="0" chartFormat="77">
  <location ref="Y14:Z16" firstHeaderRow="1" firstDataRow="1" firstDataCol="1"/>
  <pivotFields count="3">
    <pivotField axis="axisRow" compact="0" allDrilled="1" outline="0" subtotalTop="0" showAll="0" sortType="descending" defaultSubtotal="0" defaultAttributeDrillState="1">
      <items count="2">
        <item x="1"/>
        <item x="0"/>
      </items>
    </pivotField>
    <pivotField dataField="1" compact="0" outline="0" subtotalTop="0" showAll="0" defaultSubtotal="0"/>
    <pivotField compact="0" allDrilled="1" outline="0" subtotalTop="0" showAll="0" dataSourceSort="1" defaultSubtotal="0" defaultAttributeDrillState="1"/>
  </pivotFields>
  <rowFields count="1">
    <field x="0"/>
  </rowFields>
  <rowItems count="2">
    <i>
      <x/>
    </i>
    <i>
      <x v="1"/>
    </i>
  </rowItems>
  <colItems count="1">
    <i/>
  </colItems>
  <dataFields count="1">
    <dataField fld="1" subtotal="count" baseField="0" baseItem="0"/>
  </dataFields>
  <formats count="3">
    <format dxfId="514">
      <pivotArea type="all" dataOnly="0" outline="0" fieldPosition="0"/>
    </format>
    <format dxfId="513">
      <pivotArea outline="0" collapsedLevelsAreSubtotals="1" fieldPosition="0"/>
    </format>
    <format dxfId="512">
      <pivotArea dataOnly="0" labelOnly="1" outline="0" axis="axisValues" fieldPosition="0"/>
    </format>
  </formats>
  <pivotHierarchies count="5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caption="Standard Time"/>
    <pivotHierarchy dragToRow="0" dragToCol="0" dragToPage="0" dragToData="1"/>
    <pivotHierarchy dragToRow="0" dragToCol="0" dragToPage="0" dragToData="1"/>
    <pivotHierarchy dragToRow="0" dragToCol="0" dragToPage="0" dragToData="1"/>
    <pivotHierarchy dragToRow="0" dragToCol="0" dragToPage="0" dragToData="1" caption="DOWNTIME"/>
    <pivotHierarchy dragToRow="0" dragToCol="0" dragToPage="0" dragToData="1" caption="STANDARD TIME "/>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Worked Hours"/>
    <pivotHierarchy dragToData="1" caption=" Downtime"/>
    <pivotHierarchy dragToData="1"/>
    <pivotHierarchy dragToData="1"/>
    <pivotHierarchy dragToData="1" caption="Count of Error"/>
    <pivotHierarchy dragToData="1"/>
    <pivotHierarchy dragToData="1"/>
    <pivotHierarchy dragToData="1"/>
    <pivotHierarchy dragToData="1"/>
    <pivotHierarchy dragToData="1"/>
  </pivotHierarchies>
  <pivotTableStyleInfo name="PivotStyleMedium6"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Line_Productivity]"/>
        <x15:activeTabTopLevelEntity name="[Product]"/>
        <x15:activeTabTopLevelEntity name="[Downtime_Factors]"/>
        <x15:activeTabTopLevelEntity name="[Line_Downtim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86FBC99D-6006-429D-9256-E990F4F0A409}" name="PivotTable11" cacheId="803" applyNumberFormats="0" applyBorderFormats="0" applyFontFormats="0" applyPatternFormats="0" applyAlignmentFormats="0" applyWidthHeightFormats="1" dataCaption="Values" tag="61bd9b13-7166-4a71-bf8a-4c777a349ebd" updatedVersion="8" minRefreshableVersion="3" subtotalHiddenItems="1" itemPrintTitles="1" createdVersion="8" indent="0" compact="0" compactData="0" multipleFieldFilters="0" chartFormat="87">
  <location ref="T3:U8" firstHeaderRow="1" firstDataRow="1" firstDataCol="1"/>
  <pivotFields count="3">
    <pivotField axis="axisRow" compact="0" allDrilled="1" outline="0" subtotalTop="0" showAll="0" sortType="ascending" defaultSubtotal="0" defaultAttributeDrillState="1">
      <items count="4">
        <item x="0"/>
        <item x="1"/>
        <item x="2"/>
        <item x="3"/>
      </items>
      <autoSortScope>
        <pivotArea dataOnly="0" outline="0" fieldPosition="0">
          <references count="1">
            <reference field="4294967294" count="1" selected="0">
              <x v="0"/>
            </reference>
          </references>
        </pivotArea>
      </autoSortScope>
    </pivotField>
    <pivotField dataField="1" compact="0" outline="0" subtotalTop="0" showAll="0" defaultSubtotal="0"/>
    <pivotField compact="0" allDrilled="1" outline="0" subtotalTop="0" showAll="0" dataSourceSort="1" defaultSubtotal="0" defaultAttributeDrillState="1"/>
  </pivotFields>
  <rowFields count="1">
    <field x="0"/>
  </rowFields>
  <rowItems count="5">
    <i>
      <x v="2"/>
    </i>
    <i>
      <x v="3"/>
    </i>
    <i>
      <x v="1"/>
    </i>
    <i>
      <x/>
    </i>
    <i t="grand">
      <x/>
    </i>
  </rowItems>
  <colItems count="1">
    <i/>
  </colItems>
  <dataFields count="1">
    <dataField fld="1" subtotal="count" baseField="0" baseItem="0"/>
  </dataFields>
  <formats count="3">
    <format dxfId="517">
      <pivotArea type="all" dataOnly="0" outline="0" fieldPosition="0"/>
    </format>
    <format dxfId="516">
      <pivotArea outline="0" collapsedLevelsAreSubtotals="1" fieldPosition="0"/>
    </format>
    <format dxfId="515">
      <pivotArea dataOnly="0" labelOnly="1" outline="0" axis="axisValues" fieldPosition="0"/>
    </format>
  </formats>
  <chartFormats count="1">
    <chartFormat chart="80" format="2" series="1">
      <pivotArea type="data" outline="0" fieldPosition="0">
        <references count="1">
          <reference field="4294967294" count="1" selected="0">
            <x v="0"/>
          </reference>
        </references>
      </pivotArea>
    </chartFormat>
  </chartFormats>
  <pivotHierarchies count="5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caption="Standard Time"/>
    <pivotHierarchy dragToRow="0" dragToCol="0" dragToPage="0" dragToData="1"/>
    <pivotHierarchy dragToRow="0" dragToCol="0" dragToPage="0" dragToData="1"/>
    <pivotHierarchy dragToRow="0" dragToCol="0" dragToPage="0" dragToData="1"/>
    <pivotHierarchy dragToRow="0" dragToCol="0" dragToPage="0" dragToData="1" caption="DOWNTIME"/>
    <pivotHierarchy dragToRow="0" dragToCol="0" dragToPage="0" dragToData="1" caption="STANDARD TIME "/>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Worked Hours"/>
    <pivotHierarchy dragToData="1" caption=" Downtime"/>
    <pivotHierarchy dragToData="1"/>
    <pivotHierarchy dragToData="1"/>
    <pivotHierarchy dragToData="1" caption="Count of Error"/>
    <pivotHierarchy dragToData="1"/>
    <pivotHierarchy dragToData="1"/>
    <pivotHierarchy dragToData="1"/>
    <pivotHierarchy dragToData="1"/>
    <pivotHierarchy dragToData="1"/>
  </pivotHierarchies>
  <pivotTableStyleInfo name="PivotStyleMedium6" showRowHeaders="1" showColHeaders="1" showRowStripes="0" showColStripes="0" showLastColumn="1"/>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Line_Productivity]"/>
        <x15:activeTabTopLevelEntity name="[Product]"/>
        <x15:activeTabTopLevelEntity name="[Downtime_Factors]"/>
        <x15:activeTabTopLevelEntity name="[Line_Downtim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F0EC2765-868F-49AA-B0E6-BE6774C29BE0}" name="PivotTable5" cacheId="764" applyNumberFormats="0" applyBorderFormats="0" applyFontFormats="0" applyPatternFormats="0" applyAlignmentFormats="0" applyWidthHeightFormats="1" dataCaption="Values" tag="61bd9b13-7166-4a71-bf8a-4c777a349ebd" updatedVersion="8" minRefreshableVersion="3" subtotalHiddenItems="1" itemPrintTitles="1" createdVersion="8" indent="0" compact="0" compactData="0" multipleFieldFilters="0" chartFormat="31">
  <location ref="N13:Q20" firstHeaderRow="0" firstDataRow="1" firstDataCol="1"/>
  <pivotFields count="5">
    <pivotField axis="axisRow" compact="0" allDrilled="1" outline="0" subtotalTop="0" showAll="0" sortType="ascending" defaultSubtotal="0" defaultAttributeDrillState="1">
      <items count="6">
        <item x="0"/>
        <item x="1"/>
        <item x="2"/>
        <item x="3"/>
        <item x="4"/>
        <item x="5"/>
      </items>
      <autoSortScope>
        <pivotArea dataOnly="0" outline="0" fieldPosition="0">
          <references count="1">
            <reference field="4294967294" count="1" selected="0">
              <x v="0"/>
            </reference>
          </references>
        </pivotArea>
      </autoSortScope>
    </pivotField>
    <pivotField dataField="1" compact="0" outline="0" subtotalTop="0" showAll="0" defaultSubtotal="0"/>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s>
  <rowFields count="1">
    <field x="0"/>
  </rowFields>
  <rowItems count="7">
    <i>
      <x v="4"/>
    </i>
    <i>
      <x v="2"/>
    </i>
    <i>
      <x v="3"/>
    </i>
    <i>
      <x v="5"/>
    </i>
    <i>
      <x/>
    </i>
    <i>
      <x v="1"/>
    </i>
    <i t="grand">
      <x/>
    </i>
  </rowItems>
  <colFields count="1">
    <field x="-2"/>
  </colFields>
  <colItems count="3">
    <i>
      <x/>
    </i>
    <i i="1">
      <x v="1"/>
    </i>
    <i i="2">
      <x v="2"/>
    </i>
  </colItems>
  <dataFields count="3">
    <dataField fld="1" subtotal="count" baseField="0" baseItem="0"/>
    <dataField fld="3" subtotal="count" baseField="0" baseItem="0"/>
    <dataField fld="2" subtotal="count" baseField="0" baseItem="0"/>
  </dataFields>
  <formats count="3">
    <format dxfId="520">
      <pivotArea type="all" dataOnly="0" outline="0" fieldPosition="0"/>
    </format>
    <format dxfId="519">
      <pivotArea outline="0" collapsedLevelsAreSubtotals="1" fieldPosition="0"/>
    </format>
    <format dxfId="518">
      <pivotArea dataOnly="0" labelOnly="1" outline="0" axis="axisValues" fieldPosition="0"/>
    </format>
  </formats>
  <pivotHierarchies count="5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caption="Standard Time"/>
    <pivotHierarchy dragToRow="0" dragToCol="0" dragToPage="0" dragToData="1"/>
    <pivotHierarchy dragToRow="0" dragToCol="0" dragToPage="0" dragToData="1"/>
    <pivotHierarchy dragToRow="0" dragToCol="0" dragToPage="0" dragToData="1"/>
    <pivotHierarchy dragToRow="0" dragToCol="0" dragToPage="0" dragToData="1" caption="DOWNTIME"/>
    <pivotHierarchy dragToRow="0" dragToCol="0" dragToPage="0" dragToData="1" caption="STANDARD TIME "/>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Worked Hours"/>
    <pivotHierarchy dragToData="1" caption=" Downtime"/>
    <pivotHierarchy dragToData="1"/>
    <pivotHierarchy dragToData="1"/>
    <pivotHierarchy dragToData="1" caption="Count of Error"/>
    <pivotHierarchy dragToData="1"/>
    <pivotHierarchy dragToData="1"/>
    <pivotHierarchy dragToData="1"/>
    <pivotHierarchy dragToData="1"/>
    <pivotHierarchy dragToData="1"/>
  </pivotHierarchies>
  <pivotTableStyleInfo name="PivotStyleMedium6" showRowHeaders="1" showColHeaders="1" showRowStripes="0" showColStripes="0" showLastColumn="1"/>
  <rowHierarchiesUsage count="1">
    <rowHierarchyUsage hierarchyUsage="1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Line_Productivity]"/>
        <x15:activeTabTopLevelEntity name="[Product]"/>
        <x15:activeTabTopLevelEntity name="[Downtime_Factors]"/>
        <x15:activeTabTopLevelEntity name="[Line_Downtim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9DB8F5A2-B7E1-429D-BE3B-712B41D4599B}" name="PivotTable12" cacheId="805" applyNumberFormats="0" applyBorderFormats="0" applyFontFormats="0" applyPatternFormats="0" applyAlignmentFormats="0" applyWidthHeightFormats="1" dataCaption="Values" tag="61bd9b13-7166-4a71-bf8a-4c777a349ebd" updatedVersion="8" minRefreshableVersion="3" subtotalHiddenItems="1" itemPrintTitles="1" createdVersion="8" indent="0" compact="0" compactData="0" multipleFieldFilters="0" chartFormat="77">
  <location ref="Y3:Z6" firstHeaderRow="1" firstDataRow="1" firstDataCol="1"/>
  <pivotFields count="3">
    <pivotField dataField="1" compact="0" outline="0" subtotalTop="0" showAll="0" defaultSubtotal="0"/>
    <pivotField axis="axisRow" compact="0" allDrilled="1" outline="0" subtotalTop="0" showAll="0" sortType="descending" defaultSubtotal="0" defaultAttributeDrillState="1">
      <items count="2">
        <item x="1"/>
        <item x="0"/>
      </items>
    </pivotField>
    <pivotField compact="0" allDrilled="1" outline="0" subtotalTop="0" showAll="0" dataSourceSort="1" defaultSubtotal="0" defaultAttributeDrillState="1"/>
  </pivotFields>
  <rowFields count="1">
    <field x="1"/>
  </rowFields>
  <rowItems count="3">
    <i>
      <x/>
    </i>
    <i>
      <x v="1"/>
    </i>
    <i t="grand">
      <x/>
    </i>
  </rowItems>
  <colItems count="1">
    <i/>
  </colItems>
  <dataFields count="1">
    <dataField fld="0" subtotal="count" showDataAs="percentOfTotal" baseField="0" baseItem="0" numFmtId="10"/>
  </dataFields>
  <formats count="4">
    <format dxfId="524">
      <pivotArea type="all" dataOnly="0" outline="0" fieldPosition="0"/>
    </format>
    <format dxfId="523">
      <pivotArea outline="0" collapsedLevelsAreSubtotals="1" fieldPosition="0"/>
    </format>
    <format dxfId="522">
      <pivotArea dataOnly="0" labelOnly="1" outline="0" axis="axisValues" fieldPosition="0"/>
    </format>
    <format dxfId="521">
      <pivotArea outline="0" fieldPosition="0">
        <references count="1">
          <reference field="4294967294" count="1">
            <x v="0"/>
          </reference>
        </references>
      </pivotArea>
    </format>
  </formats>
  <chartFormats count="6">
    <chartFormat chart="52" format="5" series="1">
      <pivotArea type="data" outline="0" fieldPosition="0">
        <references count="1">
          <reference field="4294967294" count="1" selected="0">
            <x v="0"/>
          </reference>
        </references>
      </pivotArea>
    </chartFormat>
    <chartFormat chart="70" format="12" series="1">
      <pivotArea type="data" outline="0" fieldPosition="0">
        <references count="1">
          <reference field="4294967294" count="1" selected="0">
            <x v="0"/>
          </reference>
        </references>
      </pivotArea>
    </chartFormat>
    <chartFormat chart="75" format="4" series="1">
      <pivotArea type="data" outline="0" fieldPosition="0">
        <references count="1">
          <reference field="4294967294" count="1" selected="0">
            <x v="0"/>
          </reference>
        </references>
      </pivotArea>
    </chartFormat>
    <chartFormat chart="75" format="5">
      <pivotArea type="data" outline="0" fieldPosition="0">
        <references count="2">
          <reference field="4294967294" count="1" selected="0">
            <x v="0"/>
          </reference>
          <reference field="1" count="1" selected="0">
            <x v="1"/>
          </reference>
        </references>
      </pivotArea>
    </chartFormat>
    <chartFormat chart="75" format="6">
      <pivotArea type="data" outline="0" fieldPosition="0">
        <references count="2">
          <reference field="4294967294" count="1" selected="0">
            <x v="0"/>
          </reference>
          <reference field="1" count="1" selected="0">
            <x v="0"/>
          </reference>
        </references>
      </pivotArea>
    </chartFormat>
    <chartFormat chart="75" format="7" series="1">
      <pivotArea type="data" outline="0" fieldPosition="0">
        <references count="2">
          <reference field="4294967294" count="1" selected="0">
            <x v="0"/>
          </reference>
          <reference field="1" count="1" selected="0">
            <x v="1"/>
          </reference>
        </references>
      </pivotArea>
    </chartFormat>
  </chartFormats>
  <pivotHierarchies count="5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caption="Standard Time"/>
    <pivotHierarchy dragToRow="0" dragToCol="0" dragToPage="0" dragToData="1"/>
    <pivotHierarchy dragToRow="0" dragToCol="0" dragToPage="0" dragToData="1"/>
    <pivotHierarchy dragToRow="0" dragToCol="0" dragToPage="0" dragToData="1"/>
    <pivotHierarchy dragToRow="0" dragToCol="0" dragToPage="0" dragToData="1" caption="DOWNTIME"/>
    <pivotHierarchy dragToRow="0" dragToCol="0" dragToPage="0" dragToData="1" caption="STANDARD TIME "/>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Worked Hours"/>
    <pivotHierarchy dragToData="1" caption=" Downtime"/>
    <pivotHierarchy dragToData="1"/>
    <pivotHierarchy dragToData="1"/>
    <pivotHierarchy dragToData="1" caption="Count of Error"/>
    <pivotHierarchy dragToData="1"/>
    <pivotHierarchy dragToData="1"/>
    <pivotHierarchy dragToData="1"/>
    <pivotHierarchy dragToData="1"/>
    <pivotHierarchy dragToData="1"/>
  </pivotHierarchies>
  <pivotTableStyleInfo name="PivotStyleMedium6"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Line_Productivity]"/>
        <x15:activeTabTopLevelEntity name="[Product]"/>
        <x15:activeTabTopLevelEntity name="[Downtime_Factors]"/>
        <x15:activeTabTopLevelEntity name="[Line_Downtim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C020F4E1-6207-464B-9F49-1DF79C77D9BE}" name="PivotTable3" cacheId="746" applyNumberFormats="0" applyBorderFormats="0" applyFontFormats="0" applyPatternFormats="0" applyAlignmentFormats="0" applyWidthHeightFormats="1" dataCaption="Values" tag="61b246d3-a117-4b63-86dc-4aa8fe5cd40d" updatedVersion="8" minRefreshableVersion="3" subtotalHiddenItems="1" itemPrintTitles="1" createdVersion="8" indent="0" compact="0" compactData="0" multipleFieldFilters="0">
  <location ref="C23:C24" firstHeaderRow="1" firstDataRow="1" firstDataCol="0"/>
  <pivotFields count="2">
    <pivotField dataField="1" compact="0" outline="0" subtotalTop="0" showAll="0" defaultSubtotal="0"/>
    <pivotField compact="0" allDrilled="1" outline="0" subtotalTop="0" showAll="0" dataSourceSort="1" defaultSubtotal="0" defaultAttributeDrillState="1"/>
  </pivotFields>
  <rowItems count="1">
    <i/>
  </rowItems>
  <colItems count="1">
    <i/>
  </colItems>
  <dataFields count="1">
    <dataField fld="0" subtotal="count" baseField="0" baseItem="0" numFmtId="46"/>
  </dataFields>
  <formats count="4">
    <format dxfId="528">
      <pivotArea dataOnly="0" labelOnly="1" outline="0" axis="axisValues" fieldPosition="0"/>
    </format>
    <format dxfId="527">
      <pivotArea outline="0" collapsedLevelsAreSubtotals="1" fieldPosition="0"/>
    </format>
    <format dxfId="526">
      <pivotArea dataOnly="0" labelOnly="1" outline="0" axis="axisValues" fieldPosition="0"/>
    </format>
    <format dxfId="525">
      <pivotArea dataOnly="0" labelOnly="1" outline="0" axis="axisValues" fieldPosition="0"/>
    </format>
  </formats>
  <pivotHierarchies count="5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Worked Hours"/>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Medium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Line_Productivity]"/>
        <x15:activeTabTopLevelEntity name="[Product]"/>
        <x15:activeTabTopLevelEntity name="[Downtime_Factors]"/>
        <x15:activeTabTopLevelEntity name="[Line_Downtim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6EB766D6-B214-4AC2-9565-CF60547D43BE}" name="PivotTable4" cacheId="749" applyNumberFormats="0" applyBorderFormats="0" applyFontFormats="0" applyPatternFormats="0" applyAlignmentFormats="0" applyWidthHeightFormats="1" dataCaption="Values" tag="61b246d3-a117-4b63-86dc-4aa8fe5cd40d" updatedVersion="8" minRefreshableVersion="3" subtotalHiddenItems="1" itemPrintTitles="1" createdVersion="8" indent="0" compact="0" compactData="0" multipleFieldFilters="0">
  <location ref="C20:C21" firstHeaderRow="1" firstDataRow="1" firstDataCol="0"/>
  <pivotFields count="2">
    <pivotField dataField="1" compact="0" outline="0" subtotalTop="0" showAll="0" defaultSubtotal="0"/>
    <pivotField compact="0" allDrilled="1" outline="0" subtotalTop="0" showAll="0" dataSourceSort="1" defaultSubtotal="0" defaultAttributeDrillState="1"/>
  </pivotFields>
  <rowItems count="1">
    <i/>
  </rowItems>
  <colItems count="1">
    <i/>
  </colItems>
  <dataFields count="1">
    <dataField fld="0" subtotal="count" baseField="0" baseItem="0"/>
  </dataFields>
  <formats count="4">
    <format dxfId="532">
      <pivotArea dataOnly="0" labelOnly="1" outline="0" axis="axisValues" fieldPosition="0"/>
    </format>
    <format dxfId="531">
      <pivotArea outline="0" collapsedLevelsAreSubtotals="1" fieldPosition="0"/>
    </format>
    <format dxfId="530">
      <pivotArea dataOnly="0" labelOnly="1" outline="0" axis="axisValues" fieldPosition="0"/>
    </format>
    <format dxfId="529">
      <pivotArea dataOnly="0" labelOnly="1" outline="0" axis="axisValues" fieldPosition="0"/>
    </format>
  </formats>
  <pivotHierarchies count="5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Worked Hours"/>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Medium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Line_Productivity]"/>
        <x15:activeTabTopLevelEntity name="[Product]"/>
        <x15:activeTabTopLevelEntity name="[Downtime_Factors]"/>
        <x15:activeTabTopLevelEntity name="[Line_Downtim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C19AC5F5-88BE-4364-80A6-779D150301DE}" name="PivotTable7" cacheId="811" applyNumberFormats="0" applyBorderFormats="0" applyFontFormats="0" applyPatternFormats="0" applyAlignmentFormats="0" applyWidthHeightFormats="1" dataCaption="Values" tag="61b246d3-a117-4b63-86dc-4aa8fe5cd40d" updatedVersion="8" minRefreshableVersion="3" subtotalHiddenItems="1" itemPrintTitles="1" createdVersion="8" indent="0" compact="0" compactData="0" multipleFieldFilters="0">
  <location ref="C16:C17" firstHeaderRow="1" firstDataRow="1" firstDataCol="0"/>
  <pivotFields count="2">
    <pivotField dataField="1" compact="0" outline="0" subtotalTop="0" showAll="0" defaultSubtotal="0"/>
    <pivotField compact="0" allDrilled="1" outline="0" subtotalTop="0" showAll="0" dataSourceSort="1" defaultSubtotal="0" defaultAttributeDrillState="1"/>
  </pivotFields>
  <rowItems count="1">
    <i/>
  </rowItems>
  <colItems count="1">
    <i/>
  </colItems>
  <dataFields count="1">
    <dataField name="Total Standard Time" fld="0" subtotal="count" baseField="0" baseItem="0"/>
  </dataFields>
  <formats count="4">
    <format dxfId="536">
      <pivotArea dataOnly="0" labelOnly="1" outline="0" axis="axisValues" fieldPosition="0"/>
    </format>
    <format dxfId="535">
      <pivotArea outline="0" collapsedLevelsAreSubtotals="1" fieldPosition="0"/>
    </format>
    <format dxfId="534">
      <pivotArea dataOnly="0" labelOnly="1" outline="0" axis="axisValues" fieldPosition="0"/>
    </format>
    <format dxfId="533">
      <pivotArea dataOnly="0" labelOnly="1" outline="0" axis="axisValues" fieldPosition="0"/>
    </format>
  </formats>
  <pivotHierarchies count="5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caption="Total Standard Time"/>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Worked Hours"/>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Medium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Line_Productivity]"/>
        <x15:activeTabTopLevelEntity name="[Product]"/>
        <x15:activeTabTopLevelEntity name="[Downtime_Factors]"/>
        <x15:activeTabTopLevelEntity name="[Line_Downtim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9E34AD5D-DE74-4DBB-A1DF-944C3FB16EA1}" name="PivotTable15" cacheId="809" applyNumberFormats="0" applyBorderFormats="0" applyFontFormats="0" applyPatternFormats="0" applyAlignmentFormats="0" applyWidthHeightFormats="1" dataCaption="Values" tag="61bd9b13-7166-4a71-bf8a-4c777a349ebd" updatedVersion="8" minRefreshableVersion="3" subtotalHiddenItems="1" itemPrintTitles="1" createdVersion="8" indent="0" compact="0" compactData="0" multipleFieldFilters="0" chartFormat="77">
  <location ref="AJ3:AJ4" firstHeaderRow="1" firstDataRow="1" firstDataCol="0"/>
  <pivotFields count="3">
    <pivotField compact="0" allDrilled="1" outline="0" subtotalTop="0" showAll="0" sortType="descending" defaultSubtotal="0" defaultAttributeDrillState="1">
      <items count="2">
        <item x="1"/>
        <item x="0"/>
      </items>
    </pivotField>
    <pivotField dataField="1" compact="0" outline="0" subtotalTop="0" showAll="0" defaultSubtotal="0"/>
    <pivotField compact="0" allDrilled="1" outline="0" subtotalTop="0" showAll="0" dataSourceSort="1" defaultSubtotal="0" defaultAttributeDrillState="1"/>
  </pivotFields>
  <rowItems count="1">
    <i/>
  </rowItems>
  <colItems count="1">
    <i/>
  </colItems>
  <dataFields count="1">
    <dataField fld="1" subtotal="count" baseField="0" baseItem="0"/>
  </dataFields>
  <formats count="3">
    <format dxfId="539">
      <pivotArea type="all" dataOnly="0" outline="0" fieldPosition="0"/>
    </format>
    <format dxfId="538">
      <pivotArea outline="0" collapsedLevelsAreSubtotals="1" fieldPosition="0"/>
    </format>
    <format dxfId="537">
      <pivotArea dataOnly="0" labelOnly="1" outline="0" axis="axisValues" fieldPosition="0"/>
    </format>
  </formats>
  <pivotHierarchies count="5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caption="Standard Time"/>
    <pivotHierarchy dragToRow="0" dragToCol="0" dragToPage="0" dragToData="1"/>
    <pivotHierarchy dragToRow="0" dragToCol="0" dragToPage="0" dragToData="1"/>
    <pivotHierarchy dragToRow="0" dragToCol="0" dragToPage="0" dragToData="1"/>
    <pivotHierarchy dragToRow="0" dragToCol="0" dragToPage="0" dragToData="1" caption="DOWNTIME"/>
    <pivotHierarchy dragToRow="0" dragToCol="0" dragToPage="0" dragToData="1" caption="STANDARD TIME "/>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Worked Hours"/>
    <pivotHierarchy dragToData="1" caption=" Downtime"/>
    <pivotHierarchy dragToData="1"/>
    <pivotHierarchy dragToData="1"/>
    <pivotHierarchy dragToData="1" caption="Count of Error"/>
    <pivotHierarchy dragToData="1"/>
    <pivotHierarchy dragToData="1"/>
    <pivotHierarchy dragToData="1"/>
    <pivotHierarchy dragToData="1"/>
    <pivotHierarchy dragToData="1"/>
  </pivotHierarchies>
  <pivotTableStyleInfo name="PivotStyleMedium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Line_Productivity]"/>
        <x15:activeTabTopLevelEntity name="[Product]"/>
        <x15:activeTabTopLevelEntity name="[Downtime_Factors]"/>
        <x15:activeTabTopLevelEntity name="[Line_Downtim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EADB0764-8128-4816-A5E0-FA149077F9A1}" name="REFERENCE" cacheId="0" applyNumberFormats="0" applyBorderFormats="0" applyFontFormats="0" applyPatternFormats="0" applyAlignmentFormats="0" applyWidthHeightFormats="1" dataCaption="Values" tag="61bd9b13-7166-4a71-bf8a-4c777a349ebd" updatedVersion="8" minRefreshableVersion="3" showDrill="0" subtotalHiddenItems="1" rowGrandTotals="0" colGrandTotals="0" itemPrintTitles="1" createdVersion="8" indent="0" compact="0" compactData="0" multipleFieldFilters="0" chartFormat="143">
  <location ref="F39:G51" firstHeaderRow="1" firstDataRow="1" firstDataCol="2"/>
  <pivotFields count="2">
    <pivotField axis="axisRow" compact="0" allDrilled="1" outline="0" subtotalTop="0" showAll="0" defaultSubtotal="0" defaultAttributeDrillState="1">
      <items count="12">
        <item x="0"/>
        <item x="1"/>
        <item x="2"/>
        <item x="3"/>
        <item x="5"/>
        <item x="6"/>
        <item x="7"/>
        <item x="8"/>
        <item x="9"/>
        <item x="10"/>
        <item x="11"/>
        <item x="4"/>
      </items>
    </pivotField>
    <pivotField axis="axisRow" compact="0" allDrilled="1" outline="0" subtotalTop="0" showAll="0" dataSourceSort="1" defaultSubtotal="0" defaultAttributeDrillState="1">
      <items count="2">
        <item x="0"/>
        <item x="1"/>
      </items>
    </pivotField>
  </pivotFields>
  <rowFields count="2">
    <field x="0"/>
    <field x="1"/>
  </rowFields>
  <rowItems count="12">
    <i>
      <x/>
      <x/>
    </i>
    <i>
      <x v="1"/>
      <x/>
    </i>
    <i>
      <x v="2"/>
      <x/>
    </i>
    <i>
      <x v="3"/>
      <x v="1"/>
    </i>
    <i>
      <x v="4"/>
      <x v="1"/>
    </i>
    <i>
      <x v="5"/>
      <x/>
    </i>
    <i>
      <x v="6"/>
      <x v="1"/>
    </i>
    <i>
      <x v="7"/>
      <x/>
    </i>
    <i>
      <x v="8"/>
      <x v="1"/>
    </i>
    <i>
      <x v="9"/>
      <x v="1"/>
    </i>
    <i>
      <x v="10"/>
      <x/>
    </i>
    <i>
      <x v="11"/>
      <x v="1"/>
    </i>
  </rowItems>
  <formats count="2">
    <format dxfId="541">
      <pivotArea outline="0" fieldPosition="0">
        <references count="1">
          <reference field="1" count="1" selected="0">
            <x v="1"/>
          </reference>
        </references>
      </pivotArea>
    </format>
    <format dxfId="540">
      <pivotArea outline="0" fieldPosition="0">
        <references count="1">
          <reference field="1" count="1" selected="0">
            <x v="0"/>
          </reference>
        </references>
      </pivotArea>
    </format>
  </formats>
  <pivotHierarchies count="5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caption="DOWNTIME"/>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Worked Hours"/>
    <pivotHierarchy dragToData="1" caption=" Downtime"/>
    <pivotHierarchy dragToData="1"/>
    <pivotHierarchy dragToData="1"/>
    <pivotHierarchy dragToData="1" caption="Count of Error"/>
    <pivotHierarchy dragToData="1"/>
    <pivotHierarchy dragToData="1"/>
    <pivotHierarchy dragToData="1"/>
    <pivotHierarchy dragToData="1"/>
    <pivotHierarchy dragToData="1"/>
  </pivotHierarchies>
  <pivotTableStyleInfo name="PivotStyleMedium6" showRowHeaders="1" showColHeaders="1" showRowStripes="0" showColStripes="0" showLastColumn="1"/>
  <rowHierarchiesUsage count="2">
    <rowHierarchyUsage hierarchyUsage="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Line_Productivity]"/>
        <x15:activeTabTopLevelEntity name="[Product]"/>
        <x15:activeTabTopLevelEntity name="[Downtime_Factors]"/>
        <x15:activeTabTopLevelEntity name="[Line_Downtim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194F1F65-CB25-4167-B32A-20E1289A3B71}" name="PivotTable17" cacheId="821" applyNumberFormats="0" applyBorderFormats="0" applyFontFormats="0" applyPatternFormats="0" applyAlignmentFormats="0" applyWidthHeightFormats="1" dataCaption="Values" tag="61bd9b13-7166-4a71-bf8a-4c777a349ebd" updatedVersion="8" minRefreshableVersion="3" subtotalHiddenItems="1" itemPrintTitles="1" createdVersion="8" indent="0" compact="0" compactData="0" multipleFieldFilters="0" chartFormat="144">
  <location ref="AT2:AV8" firstHeaderRow="0" firstDataRow="1" firstDataCol="1"/>
  <pivotFields count="5">
    <pivotField compact="0" allDrilled="1" outline="0" subtotalTop="0" showAll="0" sortType="descending" defaultSubtotal="0" defaultAttributeDrillState="1">
      <items count="2">
        <item x="1"/>
        <item x="0"/>
      </items>
    </pivotField>
    <pivotField axis="axisRow" compact="0" allDrilled="1" outline="0" subtotalTop="0" showAll="0" dataSourceSort="1" defaultSubtotal="0" defaultAttributeDrillState="1">
      <items count="5">
        <item x="0"/>
        <item x="1"/>
        <item x="2"/>
        <item x="3"/>
        <item x="4"/>
      </items>
    </pivotField>
    <pivotField dataField="1" compact="0" outline="0" subtotalTop="0" showAll="0" defaultSubtotal="0"/>
    <pivotField compact="0" allDrilled="1" outline="0"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1"/>
  </rowFields>
  <rowItems count="6">
    <i>
      <x/>
    </i>
    <i>
      <x v="1"/>
    </i>
    <i>
      <x v="2"/>
    </i>
    <i>
      <x v="3"/>
    </i>
    <i>
      <x v="4"/>
    </i>
    <i t="grand">
      <x/>
    </i>
  </rowItems>
  <colFields count="1">
    <field x="-2"/>
  </colFields>
  <colItems count="2">
    <i>
      <x/>
    </i>
    <i i="1">
      <x v="1"/>
    </i>
  </colItems>
  <dataFields count="2">
    <dataField name="Count of Factor" fld="2" subtotal="count" baseField="0" baseItem="0"/>
    <dataField name="Count of Factor2" fld="4" subtotal="count" baseField="0" baseItem="0">
      <extLst>
        <ext xmlns:x14="http://schemas.microsoft.com/office/spreadsheetml/2009/9/main" uri="{E15A36E0-9728-4e99-A89B-3F7291B0FE68}">
          <x14:dataField sourceField="2" uniqueName="[__Xl2].[Measures].[Count of Factor]"/>
        </ext>
      </extLst>
    </dataField>
  </dataFields>
  <formats count="6">
    <format dxfId="547">
      <pivotArea type="all" dataOnly="0" outline="0" fieldPosition="0"/>
    </format>
    <format dxfId="546">
      <pivotArea field="1" type="button" dataOnly="0" labelOnly="1" outline="0" axis="axisRow" fieldPosition="0"/>
    </format>
    <format dxfId="545">
      <pivotArea dataOnly="0" labelOnly="1" outline="0" fieldPosition="0">
        <references count="1">
          <reference field="1" count="0"/>
        </references>
      </pivotArea>
    </format>
    <format dxfId="544">
      <pivotArea dataOnly="0" labelOnly="1" grandRow="1" outline="0" fieldPosition="0"/>
    </format>
    <format dxfId="543">
      <pivotArea outline="0" collapsedLevelsAreSubtotals="1" fieldPosition="0"/>
    </format>
    <format dxfId="542">
      <pivotArea dataOnly="0" labelOnly="1" outline="0" axis="axisValues" fieldPosition="0"/>
    </format>
  </formats>
  <chartFormats count="12">
    <chartFormat chart="101" format="1" series="1">
      <pivotArea type="data" outline="0" fieldPosition="0">
        <references count="1">
          <reference field="4294967294" count="1" selected="0">
            <x v="0"/>
          </reference>
        </references>
      </pivotArea>
    </chartFormat>
    <chartFormat chart="102" format="2" series="1">
      <pivotArea type="data" outline="0" fieldPosition="0">
        <references count="1">
          <reference field="4294967294" count="1" selected="0">
            <x v="0"/>
          </reference>
        </references>
      </pivotArea>
    </chartFormat>
    <chartFormat chart="102" format="3" series="1">
      <pivotArea type="data" outline="0" fieldPosition="0">
        <references count="1">
          <reference field="4294967294" count="1" selected="0">
            <x v="1"/>
          </reference>
        </references>
      </pivotArea>
    </chartFormat>
    <chartFormat chart="135" format="4" series="1">
      <pivotArea type="data" outline="0" fieldPosition="0">
        <references count="1">
          <reference field="4294967294" count="1" selected="0">
            <x v="1"/>
          </reference>
        </references>
      </pivotArea>
    </chartFormat>
    <chartFormat chart="135" format="5" series="1">
      <pivotArea type="data" outline="0" fieldPosition="0">
        <references count="1">
          <reference field="4294967294" count="1" selected="0">
            <x v="0"/>
          </reference>
        </references>
      </pivotArea>
    </chartFormat>
    <chartFormat chart="136" format="6" series="1">
      <pivotArea type="data" outline="0" fieldPosition="0">
        <references count="1">
          <reference field="4294967294" count="1" selected="0">
            <x v="1"/>
          </reference>
        </references>
      </pivotArea>
    </chartFormat>
    <chartFormat chart="136" format="7" series="1">
      <pivotArea type="data" outline="0" fieldPosition="0">
        <references count="1">
          <reference field="4294967294" count="1" selected="0">
            <x v="0"/>
          </reference>
        </references>
      </pivotArea>
    </chartFormat>
    <chartFormat chart="102" format="4">
      <pivotArea type="data" outline="0" fieldPosition="0">
        <references count="2">
          <reference field="4294967294" count="1" selected="0">
            <x v="0"/>
          </reference>
          <reference field="1" count="1" selected="0">
            <x v="4"/>
          </reference>
        </references>
      </pivotArea>
    </chartFormat>
    <chartFormat chart="102" format="5">
      <pivotArea type="data" outline="0" fieldPosition="0">
        <references count="2">
          <reference field="4294967294" count="1" selected="0">
            <x v="0"/>
          </reference>
          <reference field="1" count="1" selected="0">
            <x v="0"/>
          </reference>
        </references>
      </pivotArea>
    </chartFormat>
    <chartFormat chart="102" format="6">
      <pivotArea type="data" outline="0" fieldPosition="0">
        <references count="2">
          <reference field="4294967294" count="1" selected="0">
            <x v="0"/>
          </reference>
          <reference field="1" count="1" selected="0">
            <x v="2"/>
          </reference>
        </references>
      </pivotArea>
    </chartFormat>
    <chartFormat chart="102" format="7">
      <pivotArea type="data" outline="0" fieldPosition="0">
        <references count="2">
          <reference field="4294967294" count="1" selected="0">
            <x v="0"/>
          </reference>
          <reference field="1" count="1" selected="0">
            <x v="1"/>
          </reference>
        </references>
      </pivotArea>
    </chartFormat>
    <chartFormat chart="102" format="8">
      <pivotArea type="data" outline="0" fieldPosition="0">
        <references count="2">
          <reference field="4294967294" count="1" selected="0">
            <x v="0"/>
          </reference>
          <reference field="1" count="1" selected="0">
            <x v="3"/>
          </reference>
        </references>
      </pivotArea>
    </chartFormat>
  </chartFormats>
  <pivotHierarchies count="52">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caption="Standard Time"/>
    <pivotHierarchy dragToRow="0" dragToCol="0" dragToPage="0" dragToData="1"/>
    <pivotHierarchy dragToRow="0" dragToCol="0" dragToPage="0" dragToData="1"/>
    <pivotHierarchy dragToRow="0" dragToCol="0" dragToPage="0" dragToData="1"/>
    <pivotHierarchy dragToRow="0" dragToCol="0" dragToPage="0" dragToData="1" caption="DOWNTIME"/>
    <pivotHierarchy dragToRow="0" dragToCol="0" dragToPage="0" dragToData="1" caption="STANDARD TIME "/>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Worked Hours"/>
    <pivotHierarchy dragToData="1" caption=" Downtime"/>
    <pivotHierarchy dragToData="1"/>
    <pivotHierarchy dragToData="1"/>
    <pivotHierarchy dragToData="1" caption="Count of Error"/>
    <pivotHierarchy dragToData="1"/>
    <pivotHierarchy dragToData="1"/>
    <pivotHierarchy dragToData="1"/>
    <pivotHierarchy dragToData="1"/>
    <pivotHierarchy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Medium6" showRowHeaders="1" showColHeaders="1" showRowStripes="0" showColStripes="0" showLastColumn="1"/>
  <rowHierarchiesUsage count="1">
    <rowHierarchyUsage hierarchyUsage="6"/>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Line_Productivity]"/>
        <x15:activeTabTopLevelEntity name="[Product]"/>
        <x15:activeTabTopLevelEntity name="[Downtime_Factors]"/>
        <x15:activeTabTopLevelEntity name="[Line_Downtim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D9DBEE48-AF38-4B85-B540-BCD8AFF8CD77}" name="PivotTable10" cacheId="801" applyNumberFormats="0" applyBorderFormats="0" applyFontFormats="0" applyPatternFormats="0" applyAlignmentFormats="0" applyWidthHeightFormats="1" dataCaption="Values" tag="61bd9b13-7166-4a71-bf8a-4c777a349ebd" updatedVersion="8" minRefreshableVersion="3" subtotalHiddenItems="1" itemPrintTitles="1" createdVersion="8" indent="0" compact="0" compactData="0" multipleFieldFilters="0" chartFormat="82">
  <location ref="N3:Q10" firstHeaderRow="0" firstDataRow="1" firstDataCol="1"/>
  <pivotFields count="5">
    <pivotField axis="axisRow" compact="0" allDrilled="1" outline="0" subtotalTop="0" showAll="0" sortType="ascending" defaultSubtotal="0" defaultAttributeDrillState="1">
      <items count="6">
        <item x="0"/>
        <item x="1"/>
        <item x="2"/>
        <item x="3"/>
        <item x="4"/>
        <item x="5"/>
      </items>
      <autoSortScope>
        <pivotArea dataOnly="0" outline="0" fieldPosition="0">
          <references count="1">
            <reference field="4294967294" count="1" selected="0">
              <x v="2"/>
            </reference>
          </references>
        </pivotArea>
      </autoSortScope>
    </pivotField>
    <pivotField dataField="1" compact="0" outline="0" subtotalTop="0" showAll="0" defaultSubtotal="0"/>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s>
  <rowFields count="1">
    <field x="0"/>
  </rowFields>
  <rowItems count="7">
    <i>
      <x v="4"/>
    </i>
    <i>
      <x v="2"/>
    </i>
    <i>
      <x v="3"/>
    </i>
    <i>
      <x v="5"/>
    </i>
    <i>
      <x/>
    </i>
    <i>
      <x v="1"/>
    </i>
    <i t="grand">
      <x/>
    </i>
  </rowItems>
  <colFields count="1">
    <field x="-2"/>
  </colFields>
  <colItems count="3">
    <i>
      <x/>
    </i>
    <i i="1">
      <x v="1"/>
    </i>
    <i i="2">
      <x v="2"/>
    </i>
  </colItems>
  <dataFields count="3">
    <dataField name=" Downtime" fld="2" baseField="0" baseItem="0"/>
    <dataField fld="3" subtotal="count" baseField="0" baseItem="0"/>
    <dataField name=" Std.Time" fld="1" baseField="0" baseItem="0"/>
  </dataFields>
  <formats count="3">
    <format dxfId="550">
      <pivotArea type="all" dataOnly="0" outline="0" fieldPosition="0"/>
    </format>
    <format dxfId="549">
      <pivotArea outline="0" collapsedLevelsAreSubtotals="1" fieldPosition="0"/>
    </format>
    <format dxfId="548">
      <pivotArea dataOnly="0" labelOnly="1" outline="0" axis="axisValues" fieldPosition="0"/>
    </format>
  </formats>
  <chartFormats count="4">
    <chartFormat chart="34" format="39" series="1">
      <pivotArea type="data" outline="0" fieldPosition="0">
        <references count="1">
          <reference field="4294967294" count="1" selected="0">
            <x v="2"/>
          </reference>
        </references>
      </pivotArea>
    </chartFormat>
    <chartFormat chart="34" format="40" series="1">
      <pivotArea type="data" outline="0" fieldPosition="0">
        <references count="1">
          <reference field="4294967294" count="1" selected="0">
            <x v="0"/>
          </reference>
        </references>
      </pivotArea>
    </chartFormat>
    <chartFormat chart="34" format="43" series="1">
      <pivotArea type="data" outline="0" fieldPosition="0">
        <references count="1">
          <reference field="4294967294" count="1" selected="0">
            <x v="1"/>
          </reference>
        </references>
      </pivotArea>
    </chartFormat>
    <chartFormat chart="34" format="44">
      <pivotArea type="data" outline="0" fieldPosition="0">
        <references count="2">
          <reference field="4294967294" count="1" selected="0">
            <x v="1"/>
          </reference>
          <reference field="0" count="1" selected="0">
            <x v="3"/>
          </reference>
        </references>
      </pivotArea>
    </chartFormat>
  </chartFormats>
  <pivotHierarchies count="5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caption="Standard Time"/>
    <pivotHierarchy dragToRow="0" dragToCol="0" dragToPage="0" dragToData="1"/>
    <pivotHierarchy dragToRow="0" dragToCol="0" dragToPage="0" dragToData="1"/>
    <pivotHierarchy dragToRow="0" dragToCol="0" dragToPage="0" dragToData="1"/>
    <pivotHierarchy dragToRow="0" dragToCol="0" dragToPage="0" dragToData="1" caption="DOWNTIME"/>
    <pivotHierarchy dragToRow="0" dragToCol="0" dragToPage="0" dragToData="1" caption="STANDARD TIME "/>
    <pivotHierarchy dragToRow="0" dragToCol="0" dragToPage="0" dragToData="1"/>
    <pivotHierarchy dragToRow="0" dragToCol="0" dragToPage="0" dragToData="1"/>
    <pivotHierarchy dragToRow="0" dragToCol="0" dragToPage="0" dragToData="1" caption="STANDARD TIME"/>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Worked Hours"/>
    <pivotHierarchy dragToData="1" caption=" Downtime"/>
    <pivotHierarchy dragToData="1"/>
    <pivotHierarchy dragToData="1"/>
    <pivotHierarchy dragToData="1" caption="Count of Error"/>
    <pivotHierarchy dragToData="1"/>
    <pivotHierarchy dragToData="1"/>
    <pivotHierarchy dragToData="1"/>
    <pivotHierarchy dragToData="1"/>
    <pivotHierarchy dragToData="1"/>
  </pivotHierarchies>
  <pivotTableStyleInfo name="PivotStyleMedium6" showRowHeaders="1" showColHeaders="1" showRowStripes="0" showColStripes="0" showLastColumn="1"/>
  <rowHierarchiesUsage count="1">
    <rowHierarchyUsage hierarchyUsage="1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Line_Productivity]"/>
        <x15:activeTabTopLevelEntity name="[Product]"/>
        <x15:activeTabTopLevelEntity name="[Downtime_Factors]"/>
        <x15:activeTabTopLevelEntity name="[Line_Downtim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C283C5CD-BA6C-46B3-B30B-2B45CF30BD77}" name="PivotTable9" cacheId="815" dataOnRows="1" applyNumberFormats="0" applyBorderFormats="0" applyFontFormats="0" applyPatternFormats="0" applyAlignmentFormats="0" applyWidthHeightFormats="1" dataCaption="Values" tag="61b246d3-a117-4b63-86dc-4aa8fe5cd40d" updatedVersion="8" minRefreshableVersion="3" subtotalHiddenItems="1" itemPrintTitles="1" createdVersion="8" indent="0" compact="0" compactData="0" multipleFieldFilters="0" chartFormat="41">
  <location ref="C11:D13" firstHeaderRow="1" firstDataRow="1" firstDataCol="1"/>
  <pivotFields count="3">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s>
  <rowFields count="1">
    <field x="-2"/>
  </rowFields>
  <rowItems count="2">
    <i>
      <x/>
    </i>
    <i i="1">
      <x v="1"/>
    </i>
  </rowItems>
  <colItems count="1">
    <i/>
  </colItems>
  <dataFields count="2">
    <dataField fld="1" subtotal="count" baseField="0" baseItem="0"/>
    <dataField fld="0" subtotal="count" baseField="0" baseItem="0"/>
  </dataFields>
  <formats count="4">
    <format dxfId="554">
      <pivotArea dataOnly="0" labelOnly="1" outline="0" axis="axisValues" fieldPosition="0"/>
    </format>
    <format dxfId="553">
      <pivotArea outline="0" collapsedLevelsAreSubtotals="1" fieldPosition="0"/>
    </format>
    <format dxfId="552">
      <pivotArea dataOnly="0" labelOnly="1" outline="0" axis="axisValues" fieldPosition="0"/>
    </format>
    <format dxfId="551">
      <pivotArea dataOnly="0" labelOnly="1" outline="0" axis="axisValues" fieldPosition="0"/>
    </format>
  </formats>
  <chartFormats count="34">
    <chartFormat chart="2" format="0" series="1">
      <pivotArea type="data" outline="0" fieldPosition="0">
        <references count="1">
          <reference field="4294967294" count="1" selected="0">
            <x v="1"/>
          </reference>
        </references>
      </pivotArea>
    </chartFormat>
    <chartFormat chart="4" format="4" series="1">
      <pivotArea type="data" outline="0" fieldPosition="0">
        <references count="1">
          <reference field="4294967294" count="1" selected="0">
            <x v="1"/>
          </reference>
        </references>
      </pivotArea>
    </chartFormat>
    <chartFormat chart="4" format="5">
      <pivotArea type="data" outline="0" fieldPosition="0">
        <references count="1">
          <reference field="4294967294" count="1" selected="0">
            <x v="1"/>
          </reference>
        </references>
      </pivotArea>
    </chartFormat>
    <chartFormat chart="4" format="6">
      <pivotArea type="data" outline="0" fieldPosition="0">
        <references count="1">
          <reference field="4294967294" count="1" selected="0">
            <x v="0"/>
          </reference>
        </references>
      </pivotArea>
    </chartFormat>
    <chartFormat chart="7" format="0" series="1">
      <pivotArea type="data" outline="0" fieldPosition="0">
        <references count="1">
          <reference field="4294967294" count="1" selected="0">
            <x v="1"/>
          </reference>
        </references>
      </pivotArea>
    </chartFormat>
    <chartFormat chart="7" format="1">
      <pivotArea type="data" outline="0" fieldPosition="0">
        <references count="1">
          <reference field="4294967294" count="1" selected="0">
            <x v="0"/>
          </reference>
        </references>
      </pivotArea>
    </chartFormat>
    <chartFormat chart="11" format="0" series="1">
      <pivotArea type="data" outline="0" fieldPosition="0">
        <references count="1">
          <reference field="4294967294" count="1" selected="0">
            <x v="1"/>
          </reference>
        </references>
      </pivotArea>
    </chartFormat>
    <chartFormat chart="11" format="1" series="1">
      <pivotArea type="data" outline="0" fieldPosition="0">
        <references count="1">
          <reference field="4294967294" count="1" selected="0">
            <x v="0"/>
          </reference>
        </references>
      </pivotArea>
    </chartFormat>
    <chartFormat chart="7" format="2" series="1">
      <pivotArea type="data" outline="0" fieldPosition="0">
        <references count="1">
          <reference field="4294967294" count="1" selected="0">
            <x v="0"/>
          </reference>
        </references>
      </pivotArea>
    </chartFormat>
    <chartFormat chart="4" format="7"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0"/>
          </reference>
        </references>
      </pivotArea>
    </chartFormat>
    <chartFormat chart="11" format="2">
      <pivotArea type="data" outline="0" fieldPosition="0">
        <references count="1">
          <reference field="4294967294" count="1" selected="0">
            <x v="1"/>
          </reference>
        </references>
      </pivotArea>
    </chartFormat>
    <chartFormat chart="11" format="3">
      <pivotArea type="data" outline="0" fieldPosition="0">
        <references count="1">
          <reference field="4294967294" count="1" selected="0">
            <x v="0"/>
          </reference>
        </references>
      </pivotArea>
    </chartFormat>
    <chartFormat chart="12" format="4" series="1">
      <pivotArea type="data" outline="0" fieldPosition="0">
        <references count="1">
          <reference field="4294967294" count="1" selected="0">
            <x v="0"/>
          </reference>
        </references>
      </pivotArea>
    </chartFormat>
    <chartFormat chart="12" format="5">
      <pivotArea type="data" outline="0" fieldPosition="0">
        <references count="1">
          <reference field="4294967294" count="1" selected="0">
            <x v="0"/>
          </reference>
        </references>
      </pivotArea>
    </chartFormat>
    <chartFormat chart="12" format="6">
      <pivotArea type="data" outline="0" fieldPosition="0">
        <references count="1">
          <reference field="4294967294" count="1" selected="0">
            <x v="1"/>
          </reference>
        </references>
      </pivotArea>
    </chartFormat>
    <chartFormat chart="13" format="7" series="1">
      <pivotArea type="data" outline="0" fieldPosition="0">
        <references count="1">
          <reference field="4294967294" count="1" selected="0">
            <x v="0"/>
          </reference>
        </references>
      </pivotArea>
    </chartFormat>
    <chartFormat chart="13" format="8">
      <pivotArea type="data" outline="0" fieldPosition="0">
        <references count="1">
          <reference field="4294967294" count="1" selected="0">
            <x v="0"/>
          </reference>
        </references>
      </pivotArea>
    </chartFormat>
    <chartFormat chart="13" format="9">
      <pivotArea type="data" outline="0" fieldPosition="0">
        <references count="1">
          <reference field="4294967294" count="1" selected="0">
            <x v="1"/>
          </reference>
        </references>
      </pivotArea>
    </chartFormat>
    <chartFormat chart="14" format="10" series="1">
      <pivotArea type="data" outline="0" fieldPosition="0">
        <references count="1">
          <reference field="4294967294" count="1" selected="0">
            <x v="0"/>
          </reference>
        </references>
      </pivotArea>
    </chartFormat>
    <chartFormat chart="14" format="11">
      <pivotArea type="data" outline="0" fieldPosition="0">
        <references count="1">
          <reference field="4294967294" count="1" selected="0">
            <x v="0"/>
          </reference>
        </references>
      </pivotArea>
    </chartFormat>
    <chartFormat chart="14" format="12">
      <pivotArea type="data" outline="0" fieldPosition="0">
        <references count="1">
          <reference field="4294967294" count="1" selected="0">
            <x v="1"/>
          </reference>
        </references>
      </pivotArea>
    </chartFormat>
    <chartFormat chart="13" format="10" series="1">
      <pivotArea type="data" outline="0" fieldPosition="0">
        <references count="1">
          <reference field="4294967294" count="1" selected="0">
            <x v="1"/>
          </reference>
        </references>
      </pivotArea>
    </chartFormat>
    <chartFormat chart="18" format="0" series="1">
      <pivotArea type="data" outline="0" fieldPosition="0">
        <references count="1">
          <reference field="4294967294" count="1" selected="0">
            <x v="0"/>
          </reference>
        </references>
      </pivotArea>
    </chartFormat>
    <chartFormat chart="23" format="0" series="1">
      <pivotArea type="data" outline="0" fieldPosition="0">
        <references count="1">
          <reference field="4294967294" count="1" selected="0">
            <x v="0"/>
          </reference>
        </references>
      </pivotArea>
    </chartFormat>
    <chartFormat chart="26" format="7" series="1">
      <pivotArea type="data" outline="0" fieldPosition="0">
        <references count="1">
          <reference field="4294967294" count="1" selected="0">
            <x v="0"/>
          </reference>
        </references>
      </pivotArea>
    </chartFormat>
    <chartFormat chart="26" format="8">
      <pivotArea type="data" outline="0" fieldPosition="0">
        <references count="1">
          <reference field="4294967294" count="1" selected="0">
            <x v="0"/>
          </reference>
        </references>
      </pivotArea>
    </chartFormat>
    <chartFormat chart="26" format="9">
      <pivotArea type="data" outline="0" fieldPosition="0">
        <references count="1">
          <reference field="4294967294" count="1" selected="0">
            <x v="1"/>
          </reference>
        </references>
      </pivotArea>
    </chartFormat>
    <chartFormat chart="27" format="10" series="1">
      <pivotArea type="data" outline="0" fieldPosition="0">
        <references count="1">
          <reference field="4294967294" count="1" selected="0">
            <x v="0"/>
          </reference>
        </references>
      </pivotArea>
    </chartFormat>
    <chartFormat chart="27" format="11">
      <pivotArea type="data" outline="0" fieldPosition="0">
        <references count="1">
          <reference field="4294967294" count="1" selected="0">
            <x v="0"/>
          </reference>
        </references>
      </pivotArea>
    </chartFormat>
    <chartFormat chart="27" format="12">
      <pivotArea type="data" outline="0" fieldPosition="0">
        <references count="1">
          <reference field="4294967294" count="1" selected="0">
            <x v="1"/>
          </reference>
        </references>
      </pivotArea>
    </chartFormat>
    <chartFormat chart="40" format="4" series="1">
      <pivotArea type="data" outline="0" fieldPosition="0">
        <references count="1">
          <reference field="4294967294" count="1" selected="0">
            <x v="0"/>
          </reference>
        </references>
      </pivotArea>
    </chartFormat>
    <chartFormat chart="40" format="5">
      <pivotArea type="data" outline="0" fieldPosition="0">
        <references count="1">
          <reference field="4294967294" count="1" selected="0">
            <x v="0"/>
          </reference>
        </references>
      </pivotArea>
    </chartFormat>
    <chartFormat chart="40" format="6">
      <pivotArea type="data" outline="0" fieldPosition="0">
        <references count="1">
          <reference field="4294967294" count="1" selected="0">
            <x v="1"/>
          </reference>
        </references>
      </pivotArea>
    </chartFormat>
  </chartFormats>
  <pivotHierarchies count="5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Worked Hours"/>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Medium6"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Line_Productivity]"/>
        <x15:activeTabTopLevelEntity name="[Product]"/>
        <x15:activeTabTopLevelEntity name="[Downtime_Factors]"/>
        <x15:activeTabTopLevelEntity name="[Line_Downtim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9792CE5A-5A36-4622-BDA7-40C431B8C095}" name="PivotTable1" cacheId="799" applyNumberFormats="0" applyBorderFormats="0" applyFontFormats="0" applyPatternFormats="0" applyAlignmentFormats="0" applyWidthHeightFormats="1" dataCaption="Values" tag="61b246d3-a117-4b63-86dc-4aa8fe5cd40d" updatedVersion="8" minRefreshableVersion="3" subtotalHiddenItems="1" itemPrintTitles="1" createdVersion="8" indent="0" compact="0" compactData="0" multipleFieldFilters="0">
  <location ref="C27:C28" firstHeaderRow="1" firstDataRow="1" firstDataCol="0"/>
  <pivotFields count="2">
    <pivotField dataField="1" compact="0" outline="0" subtotalTop="0" showAll="0" defaultSubtotal="0"/>
    <pivotField compact="0" allDrilled="1" outline="0" subtotalTop="0" showAll="0" dataSourceSort="1" defaultSubtotal="0" defaultAttributeDrillState="1"/>
  </pivotFields>
  <rowItems count="1">
    <i/>
  </rowItems>
  <colItems count="1">
    <i/>
  </colItems>
  <dataFields count="1">
    <dataField name="Total Error" fld="0" subtotal="count" baseField="0" baseItem="0"/>
  </dataFields>
  <formats count="4">
    <format dxfId="558">
      <pivotArea outline="0" collapsedLevelsAreSubtotals="1" fieldPosition="0"/>
    </format>
    <format dxfId="557">
      <pivotArea dataOnly="0" labelOnly="1" outline="0" axis="axisValues" fieldPosition="0"/>
    </format>
    <format dxfId="556">
      <pivotArea dataOnly="0" labelOnly="1" outline="0" axis="axisValues" fieldPosition="0"/>
    </format>
    <format dxfId="555">
      <pivotArea dataOnly="0" labelOnly="1" outline="0" axis="axisValues" fieldPosition="0"/>
    </format>
  </formats>
  <pivotHierarchies count="5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Worked Hours"/>
    <pivotHierarchy dragToData="1"/>
    <pivotHierarchy dragToData="1"/>
    <pivotHierarchy dragToData="1"/>
    <pivotHierarchy dragToData="1" caption="Total Error"/>
    <pivotHierarchy dragToData="1"/>
    <pivotHierarchy dragToData="1"/>
    <pivotHierarchy dragToData="1"/>
    <pivotHierarchy dragToData="1"/>
    <pivotHierarchy dragToData="1"/>
  </pivotHierarchies>
  <pivotTableStyleInfo name="PivotStyleMedium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Line_Productivity]"/>
        <x15:activeTabTopLevelEntity name="[Product]"/>
        <x15:activeTabTopLevelEntity name="[Downtime_Factors]"/>
        <x15:activeTabTopLevelEntity name="[Line_Downtim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80ED00D3-1FBC-41EC-80B4-31EDE9489653}" name="PivotTable13" cacheId="807" applyNumberFormats="0" applyBorderFormats="0" applyFontFormats="0" applyPatternFormats="0" applyAlignmentFormats="0" applyWidthHeightFormats="1" dataCaption="Values" tag="61bd9b13-7166-4a71-bf8a-4c777a349ebd" updatedVersion="8" minRefreshableVersion="3" subtotalHiddenItems="1" itemPrintTitles="1" createdVersion="8" indent="0" compact="0" compactData="0" multipleFieldFilters="0" chartFormat="77">
  <location ref="AF3:AF4" firstHeaderRow="1" firstDataRow="1" firstDataCol="0" rowPageCount="1" colPageCount="1"/>
  <pivotFields count="3">
    <pivotField axis="axisPage" compact="0" allDrilled="1" outline="0" subtotalTop="0" showAll="0" sortType="descending" defaultSubtotal="0" defaultAttributeDrillState="1"/>
    <pivotField dataField="1" compact="0" outline="0" subtotalTop="0" showAll="0" defaultSubtotal="0"/>
    <pivotField compact="0" allDrilled="1" outline="0" subtotalTop="0" showAll="0" dataSourceSort="1" defaultSubtotal="0" defaultAttributeDrillState="1"/>
  </pivotFields>
  <rowItems count="1">
    <i/>
  </rowItems>
  <colItems count="1">
    <i/>
  </colItems>
  <pageFields count="1">
    <pageField fld="0" hier="2" name="[Downtime_Factors].[Operator Error].[All]" cap="All"/>
  </pageFields>
  <dataFields count="1">
    <dataField fld="1" subtotal="count" baseField="0" baseItem="0"/>
  </dataFields>
  <formats count="3">
    <format dxfId="561">
      <pivotArea type="all" dataOnly="0" outline="0" fieldPosition="0"/>
    </format>
    <format dxfId="560">
      <pivotArea outline="0" collapsedLevelsAreSubtotals="1" fieldPosition="0"/>
    </format>
    <format dxfId="559">
      <pivotArea dataOnly="0" labelOnly="1" outline="0" axis="axisValues" fieldPosition="0"/>
    </format>
  </formats>
  <pivotHierarchies count="5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caption="Standard Time"/>
    <pivotHierarchy dragToRow="0" dragToCol="0" dragToPage="0" dragToData="1"/>
    <pivotHierarchy dragToRow="0" dragToCol="0" dragToPage="0" dragToData="1"/>
    <pivotHierarchy dragToRow="0" dragToCol="0" dragToPage="0" dragToData="1"/>
    <pivotHierarchy dragToRow="0" dragToCol="0" dragToPage="0" dragToData="1" caption="DOWNTIME"/>
    <pivotHierarchy dragToRow="0" dragToCol="0" dragToPage="0" dragToData="1" caption="STANDARD TIME "/>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Worked Hours"/>
    <pivotHierarchy dragToData="1" caption=" Downtime"/>
    <pivotHierarchy dragToData="1"/>
    <pivotHierarchy dragToData="1"/>
    <pivotHierarchy dragToData="1" caption="Count of Error"/>
    <pivotHierarchy dragToData="1"/>
    <pivotHierarchy dragToData="1"/>
    <pivotHierarchy dragToData="1"/>
    <pivotHierarchy dragToData="1"/>
    <pivotHierarchy dragToData="1"/>
  </pivotHierarchies>
  <pivotTableStyleInfo name="PivotStyleMedium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Line_Productivity]"/>
        <x15:activeTabTopLevelEntity name="[Product]"/>
        <x15:activeTabTopLevelEntity name="[Downtime_Factors]"/>
        <x15:activeTabTopLevelEntity name="[Line_Downtim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5E567594-3AC7-4445-AB1A-BC9293D299F0}" name="PivotTable2" cacheId="797" applyNumberFormats="0" applyBorderFormats="0" applyFontFormats="0" applyPatternFormats="0" applyAlignmentFormats="0" applyWidthHeightFormats="1" dataCaption="Values" tag="61bd9b13-7166-4a71-bf8a-4c777a349ebd" updatedVersion="8" minRefreshableVersion="3" showDrill="0" subtotalHiddenItems="1" rowGrandTotals="0" colGrandTotals="0" itemPrintTitles="1" createdVersion="8" indent="0" compact="0" compactData="0" multipleFieldFilters="0" chartFormat="201">
  <location ref="F3:H15" firstHeaderRow="1" firstDataRow="2" firstDataCol="1"/>
  <pivotFields count="5">
    <pivotField dataField="1" compact="0" outline="0" subtotalTop="0" showAll="0" defaultSubtotal="0"/>
    <pivotField axis="axisRow" compact="0" allDrilled="1" outline="0" subtotalTop="0" showAll="0" sortType="ascending" defaultSubtotal="0" defaultAttributeDrillState="1">
      <items count="11">
        <item x="0"/>
        <item x="1"/>
        <item x="2"/>
        <item x="3"/>
        <item x="4"/>
        <item x="5"/>
        <item x="6"/>
        <item x="7"/>
        <item x="8"/>
        <item x="9"/>
        <item x="10"/>
      </items>
      <autoSortScope>
        <pivotArea dataOnly="0" outline="0" fieldPosition="0">
          <references count="1">
            <reference field="4294967294" count="1" selected="0">
              <x v="0"/>
            </reference>
          </references>
        </pivotArea>
      </autoSortScope>
    </pivotField>
    <pivotField compact="0" allDrilled="1" outline="0" subtotalTop="0" showAll="0" sortType="descending" defaultSubtotal="0" defaultAttributeDrillState="1">
      <items count="3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s>
      <autoSortScope>
        <pivotArea dataOnly="0" outline="0" fieldPosition="0">
          <references count="1">
            <reference field="4294967294" count="1" selected="0">
              <x v="0"/>
            </reference>
          </references>
        </pivotArea>
      </autoSortScope>
    </pivotField>
    <pivotField axis="axisCol" compact="0" allDrilled="1" outline="0" subtotalTop="0" showAll="0" dataSourceSort="1" defaultSubtotal="0" defaultAttributeDrillState="1">
      <items count="2">
        <item x="0"/>
        <item x="1"/>
      </items>
    </pivotField>
    <pivotField compact="0" allDrilled="1" outline="0" subtotalTop="0" showAll="0" dataSourceSort="1" defaultSubtotal="0" defaultAttributeDrillState="1"/>
  </pivotFields>
  <rowFields count="1">
    <field x="1"/>
  </rowFields>
  <rowItems count="11">
    <i>
      <x v="3"/>
    </i>
    <i>
      <x v="5"/>
    </i>
    <i>
      <x v="6"/>
    </i>
    <i>
      <x v="2"/>
    </i>
    <i>
      <x v="10"/>
    </i>
    <i>
      <x v="9"/>
    </i>
    <i>
      <x v="1"/>
    </i>
    <i>
      <x/>
    </i>
    <i>
      <x v="4"/>
    </i>
    <i>
      <x v="8"/>
    </i>
    <i>
      <x v="7"/>
    </i>
  </rowItems>
  <colFields count="1">
    <field x="3"/>
  </colFields>
  <colItems count="2">
    <i>
      <x/>
    </i>
    <i>
      <x v="1"/>
    </i>
  </colItems>
  <dataFields count="1">
    <dataField name=" Downtime" fld="0" baseField="0" baseItem="0"/>
  </dataFields>
  <formats count="2">
    <format dxfId="563">
      <pivotArea outline="0" fieldPosition="0">
        <references count="1">
          <reference field="3" count="1" selected="0">
            <x v="0"/>
          </reference>
        </references>
      </pivotArea>
    </format>
    <format dxfId="562">
      <pivotArea outline="0" fieldPosition="0">
        <references count="1">
          <reference field="3" count="1" selected="0">
            <x v="1"/>
          </reference>
        </references>
      </pivotArea>
    </format>
  </formats>
  <chartFormats count="13">
    <chartFormat chart="81" format="24" series="1">
      <pivotArea type="data" outline="0" fieldPosition="0">
        <references count="2">
          <reference field="4294967294" count="1" selected="0">
            <x v="0"/>
          </reference>
          <reference field="3" count="1" selected="0">
            <x v="0"/>
          </reference>
        </references>
      </pivotArea>
    </chartFormat>
    <chartFormat chart="81" format="25" series="1">
      <pivotArea type="data" outline="0" fieldPosition="0">
        <references count="2">
          <reference field="4294967294" count="1" selected="0">
            <x v="0"/>
          </reference>
          <reference field="3" count="1" selected="0">
            <x v="1"/>
          </reference>
        </references>
      </pivotArea>
    </chartFormat>
    <chartFormat chart="82" format="26" series="1">
      <pivotArea type="data" outline="0" fieldPosition="0">
        <references count="2">
          <reference field="4294967294" count="1" selected="0">
            <x v="0"/>
          </reference>
          <reference field="3" count="1" selected="0">
            <x v="0"/>
          </reference>
        </references>
      </pivotArea>
    </chartFormat>
    <chartFormat chart="82" format="27" series="1">
      <pivotArea type="data" outline="0" fieldPosition="0">
        <references count="2">
          <reference field="4294967294" count="1" selected="0">
            <x v="0"/>
          </reference>
          <reference field="3" count="1" selected="0">
            <x v="1"/>
          </reference>
        </references>
      </pivotArea>
    </chartFormat>
    <chartFormat chart="13" format="28" series="1">
      <pivotArea type="data" outline="0" fieldPosition="0">
        <references count="2">
          <reference field="4294967294" count="1" selected="0">
            <x v="0"/>
          </reference>
          <reference field="3" count="1" selected="0">
            <x v="0"/>
          </reference>
        </references>
      </pivotArea>
    </chartFormat>
    <chartFormat chart="13" format="29" series="1">
      <pivotArea type="data" outline="0" fieldPosition="0">
        <references count="2">
          <reference field="4294967294" count="1" selected="0">
            <x v="0"/>
          </reference>
          <reference field="3" count="1" selected="0">
            <x v="1"/>
          </reference>
        </references>
      </pivotArea>
    </chartFormat>
    <chartFormat chart="98" format="12" series="1">
      <pivotArea type="data" outline="0" fieldPosition="0">
        <references count="2">
          <reference field="4294967294" count="1" selected="0">
            <x v="0"/>
          </reference>
          <reference field="3" count="1" selected="0">
            <x v="0"/>
          </reference>
        </references>
      </pivotArea>
    </chartFormat>
    <chartFormat chart="98" format="13" series="1">
      <pivotArea type="data" outline="0" fieldPosition="0">
        <references count="2">
          <reference field="4294967294" count="1" selected="0">
            <x v="0"/>
          </reference>
          <reference field="3" count="1" selected="0">
            <x v="1"/>
          </reference>
        </references>
      </pivotArea>
    </chartFormat>
    <chartFormat chart="108" format="14" series="1">
      <pivotArea type="data" outline="0" fieldPosition="0">
        <references count="2">
          <reference field="4294967294" count="1" selected="0">
            <x v="0"/>
          </reference>
          <reference field="3" count="1" selected="0">
            <x v="0"/>
          </reference>
        </references>
      </pivotArea>
    </chartFormat>
    <chartFormat chart="108" format="15" series="1">
      <pivotArea type="data" outline="0" fieldPosition="0">
        <references count="2">
          <reference field="4294967294" count="1" selected="0">
            <x v="0"/>
          </reference>
          <reference field="3" count="1" selected="0">
            <x v="1"/>
          </reference>
        </references>
      </pivotArea>
    </chartFormat>
    <chartFormat chart="109" format="16" series="1">
      <pivotArea type="data" outline="0" fieldPosition="0">
        <references count="2">
          <reference field="4294967294" count="1" selected="0">
            <x v="0"/>
          </reference>
          <reference field="3" count="1" selected="0">
            <x v="0"/>
          </reference>
        </references>
      </pivotArea>
    </chartFormat>
    <chartFormat chart="109" format="17" series="1">
      <pivotArea type="data" outline="0" fieldPosition="0">
        <references count="2">
          <reference field="4294967294" count="1" selected="0">
            <x v="0"/>
          </reference>
          <reference field="3" count="1" selected="0">
            <x v="1"/>
          </reference>
        </references>
      </pivotArea>
    </chartFormat>
    <chartFormat chart="13" format="32" series="1">
      <pivotArea type="data" outline="0" fieldPosition="0">
        <references count="1">
          <reference field="4294967294" count="1" selected="0">
            <x v="0"/>
          </reference>
        </references>
      </pivotArea>
    </chartFormat>
  </chartFormats>
  <pivotHierarchies count="5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caption="DOWNTIME"/>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Worked Hours"/>
    <pivotHierarchy dragToData="1" caption=" Downtime"/>
    <pivotHierarchy dragToData="1"/>
    <pivotHierarchy dragToData="1"/>
    <pivotHierarchy dragToData="1" caption="Count of Error"/>
    <pivotHierarchy dragToData="1"/>
    <pivotHierarchy dragToData="1"/>
    <pivotHierarchy dragToData="1"/>
    <pivotHierarchy dragToData="1"/>
    <pivotHierarchy dragToData="1"/>
  </pivotHierarchies>
  <pivotTableStyleInfo name="PivotStyleMedium6" showRowHeaders="1" showColHeaders="1" showRowStripes="0" showColStripes="0" showLastColumn="1"/>
  <rowHierarchiesUsage count="1">
    <rowHierarchyUsage hierarchyUsage="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Line_Productivity]"/>
        <x15:activeTabTopLevelEntity name="[Product]"/>
        <x15:activeTabTopLevelEntity name="[Downtime_Factors]"/>
        <x15:activeTabTopLevelEntity name="[Line_Downtim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7C63C446-D2F4-4AE7-A8BF-B1324CA4EF30}" name="PivotTable16" cacheId="819" applyNumberFormats="0" applyBorderFormats="0" applyFontFormats="0" applyPatternFormats="0" applyAlignmentFormats="0" applyWidthHeightFormats="1" dataCaption="Values" tag="61bd9b13-7166-4a71-bf8a-4c777a349ebd" updatedVersion="8" minRefreshableVersion="3" subtotalHiddenItems="1" itemPrintTitles="1" createdVersion="8" indent="0" compact="0" compactData="0" multipleFieldFilters="0" chartFormat="131">
  <location ref="AP2:AR8" firstHeaderRow="0" firstDataRow="1" firstDataCol="1"/>
  <pivotFields count="5">
    <pivotField compact="0" allDrilled="1" outline="0" subtotalTop="0" showAll="0" sortType="descending" defaultSubtotal="0" defaultAttributeDrillState="1">
      <items count="2">
        <item x="1"/>
        <item x="0"/>
      </items>
    </pivotField>
    <pivotField axis="axisRow" compact="0" allDrilled="1" outline="0" subtotalTop="0" showAll="0" dataSourceSort="1" defaultSubtotal="0" defaultAttributeDrillState="1">
      <items count="5">
        <item x="0"/>
        <item x="1"/>
        <item x="2"/>
        <item x="3"/>
        <item x="4"/>
      </items>
    </pivotField>
    <pivotField dataField="1" compact="0" outline="0" subtotalTop="0" showAll="0" defaultSubtotal="0"/>
    <pivotField compact="0" allDrilled="1" outline="0"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1"/>
  </rowFields>
  <rowItems count="6">
    <i>
      <x/>
    </i>
    <i>
      <x v="1"/>
    </i>
    <i>
      <x v="2"/>
    </i>
    <i>
      <x v="3"/>
    </i>
    <i>
      <x v="4"/>
    </i>
    <i t="grand">
      <x/>
    </i>
  </rowItems>
  <colFields count="1">
    <field x="-2"/>
  </colFields>
  <colItems count="2">
    <i>
      <x/>
    </i>
    <i i="1">
      <x v="1"/>
    </i>
  </colItems>
  <dataFields count="2">
    <dataField fld="2" subtotal="count" baseField="0" baseItem="0" numFmtId="46"/>
    <dataField name="Total Downtime2" fld="4" subtotal="count" baseField="0" baseItem="0">
      <extLst>
        <ext xmlns:x14="http://schemas.microsoft.com/office/spreadsheetml/2009/9/main" uri="{E15A36E0-9728-4e99-A89B-3F7291B0FE68}">
          <x14:dataField sourceField="2" uniqueName="[__Xl2].[Measures].[Total Downtime]"/>
        </ext>
      </extLst>
    </dataField>
  </dataFields>
  <formats count="6">
    <format dxfId="569">
      <pivotArea type="all" dataOnly="0" outline="0" fieldPosition="0"/>
    </format>
    <format dxfId="568">
      <pivotArea outline="0" collapsedLevelsAreSubtotals="1" fieldPosition="0"/>
    </format>
    <format dxfId="567">
      <pivotArea dataOnly="0" labelOnly="1" outline="0" axis="axisValues" fieldPosition="0"/>
    </format>
    <format dxfId="566">
      <pivotArea field="1" type="button" dataOnly="0" labelOnly="1" outline="0" axis="axisRow" fieldPosition="0"/>
    </format>
    <format dxfId="565">
      <pivotArea dataOnly="0" labelOnly="1" outline="0" fieldPosition="0">
        <references count="1">
          <reference field="1" count="0"/>
        </references>
      </pivotArea>
    </format>
    <format dxfId="564">
      <pivotArea dataOnly="0" labelOnly="1" grandRow="1" outline="0" fieldPosition="0"/>
    </format>
  </formats>
  <chartFormats count="9">
    <chartFormat chart="121" format="0" series="1">
      <pivotArea type="data" outline="0" fieldPosition="0">
        <references count="1">
          <reference field="4294967294" count="1" selected="0">
            <x v="0"/>
          </reference>
        </references>
      </pivotArea>
    </chartFormat>
    <chartFormat chart="121" format="1" series="1">
      <pivotArea type="data" outline="0" fieldPosition="0">
        <references count="1">
          <reference field="4294967294" count="1" selected="0">
            <x v="1"/>
          </reference>
        </references>
      </pivotArea>
    </chartFormat>
    <chartFormat chart="126" format="8" series="1">
      <pivotArea type="data" outline="0" fieldPosition="0">
        <references count="1">
          <reference field="4294967294" count="1" selected="0">
            <x v="1"/>
          </reference>
        </references>
      </pivotArea>
    </chartFormat>
    <chartFormat chart="126" format="9" series="1">
      <pivotArea type="data" outline="0" fieldPosition="0">
        <references count="1">
          <reference field="4294967294" count="1" selected="0">
            <x v="0"/>
          </reference>
        </references>
      </pivotArea>
    </chartFormat>
    <chartFormat chart="126" format="10">
      <pivotArea type="data" outline="0" fieldPosition="0">
        <references count="2">
          <reference field="4294967294" count="1" selected="0">
            <x v="0"/>
          </reference>
          <reference field="1" count="1" selected="0">
            <x v="4"/>
          </reference>
        </references>
      </pivotArea>
    </chartFormat>
    <chartFormat chart="126" format="11">
      <pivotArea type="data" outline="0" fieldPosition="0">
        <references count="2">
          <reference field="4294967294" count="1" selected="0">
            <x v="0"/>
          </reference>
          <reference field="1" count="1" selected="0">
            <x v="3"/>
          </reference>
        </references>
      </pivotArea>
    </chartFormat>
    <chartFormat chart="126" format="12">
      <pivotArea type="data" outline="0" fieldPosition="0">
        <references count="2">
          <reference field="4294967294" count="1" selected="0">
            <x v="0"/>
          </reference>
          <reference field="1" count="1" selected="0">
            <x v="1"/>
          </reference>
        </references>
      </pivotArea>
    </chartFormat>
    <chartFormat chart="126" format="13">
      <pivotArea type="data" outline="0" fieldPosition="0">
        <references count="2">
          <reference field="4294967294" count="1" selected="0">
            <x v="0"/>
          </reference>
          <reference field="1" count="1" selected="0">
            <x v="0"/>
          </reference>
        </references>
      </pivotArea>
    </chartFormat>
    <chartFormat chart="126" format="14">
      <pivotArea type="data" outline="0" fieldPosition="0">
        <references count="2">
          <reference field="4294967294" count="1" selected="0">
            <x v="0"/>
          </reference>
          <reference field="1" count="1" selected="0">
            <x v="2"/>
          </reference>
        </references>
      </pivotArea>
    </chartFormat>
  </chartFormats>
  <pivotHierarchies count="52">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caption="Standard Time"/>
    <pivotHierarchy dragToRow="0" dragToCol="0" dragToPage="0" dragToData="1"/>
    <pivotHierarchy dragToRow="0" dragToCol="0" dragToPage="0" dragToData="1"/>
    <pivotHierarchy dragToRow="0" dragToCol="0" dragToPage="0" dragToData="1"/>
    <pivotHierarchy dragToRow="0" dragToCol="0" dragToPage="0" dragToData="1" caption="DOWNTIME"/>
    <pivotHierarchy dragToRow="0" dragToCol="0" dragToPage="0" dragToData="1" caption="STANDARD TIME "/>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Worked Hours"/>
    <pivotHierarchy dragToData="1" caption=" Downtime"/>
    <pivotHierarchy dragToData="1"/>
    <pivotHierarchy dragToData="1"/>
    <pivotHierarchy dragToData="1" caption="Count of Error"/>
    <pivotHierarchy dragToData="1"/>
    <pivotHierarchy dragToData="1"/>
    <pivotHierarchy dragToData="1"/>
    <pivotHierarchy dragToData="1"/>
    <pivotHierarchy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Medium6" showRowHeaders="1" showColHeaders="1" showRowStripes="0" showColStripes="0" showLastColumn="1"/>
  <rowHierarchiesUsage count="1">
    <rowHierarchyUsage hierarchyUsage="6"/>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Line_Productivity]"/>
        <x15:activeTabTopLevelEntity name="[Product]"/>
        <x15:activeTabTopLevelEntity name="[Downtime_Factors]"/>
        <x15:activeTabTopLevelEntity name="[Line_Downtime]"/>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perator" xr10:uid="{ACE58F85-DEE0-4C8A-9331-2D591DB06904}" sourceName="[Line_Productivity].[Operator]">
  <pivotTables>
    <pivotTable tabId="2" name="PivotTable2"/>
    <pivotTable tabId="2" name="PivotTable1"/>
    <pivotTable tabId="2" name="PivotTable3"/>
    <pivotTable tabId="2" name="PivotTable4"/>
    <pivotTable tabId="2" name="PivotTable7"/>
    <pivotTable tabId="2" name="PivotTable8"/>
    <pivotTable tabId="2" name="PivotTable9"/>
    <pivotTable tabId="2" name="PivotTable10"/>
    <pivotTable tabId="2" name="PivotTable5"/>
    <pivotTable tabId="2" name="PivotTable12"/>
    <pivotTable tabId="2" name="PivotTable13"/>
    <pivotTable tabId="2" name="PivotTable15"/>
    <pivotTable tabId="2" name="PivotTable14"/>
    <pivotTable tabId="2" name="PivotTable16"/>
    <pivotTable tabId="2" name="PivotTable17"/>
    <pivotTable tabId="2" name="PivotTable6"/>
    <pivotTable tabId="2" name="PivotTable18"/>
    <pivotTable tabId="2" name="PivotTable19"/>
  </pivotTables>
  <data>
    <olap pivotCacheId="2077243187">
      <levels count="2">
        <level uniqueName="[Line_Productivity].[Operator].[(All)]" sourceCaption="(All)" count="0"/>
        <level uniqueName="[Line_Productivity].[Operator].[Operator]" sourceCaption="Operator" count="4">
          <ranges>
            <range startItem="0">
              <i n="[Line_Productivity].[Operator].&amp;[Charlie]" c="Charlie"/>
              <i n="[Line_Productivity].[Operator].&amp;[Dee]" c="Dee"/>
              <i n="[Line_Productivity].[Operator].&amp;[Dennis]" c="Dennis"/>
              <i n="[Line_Productivity].[Operator].&amp;[Mac]" c="Mac"/>
            </range>
          </ranges>
        </level>
      </levels>
      <selections count="1">
        <selection n="[Line_Productivity].[Operator].[All]"/>
      </selections>
    </olap>
  </data>
  <extLst>
    <x:ext xmlns:x15="http://schemas.microsoft.com/office/spreadsheetml/2010/11/main" uri="{470722E0-AACD-4C17-9CDC-17EF765DBC7E}">
      <x15:slicerCacheHideItemsWithNoData count="1">
        <x15:slicerCacheOlapLevelName uniqueName="[Line_Productivity].[Operator].[Operator]" count="0"/>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perator_Error" xr10:uid="{47D0CE5C-B04D-4FCF-9849-76BD0EC55EB7}" sourceName="[Downtime_Factors].[Operator Error]">
  <pivotTables>
    <pivotTable tabId="2" name="PivotTable1"/>
    <pivotTable tabId="2" name="PivotTable10"/>
    <pivotTable tabId="2" name="PivotTable7"/>
    <pivotTable tabId="2" name="PivotTable8"/>
    <pivotTable tabId="2" name="PivotTable9"/>
    <pivotTable tabId="2" name="PivotTable11"/>
    <pivotTable tabId="2" name="PivotTable13"/>
    <pivotTable tabId="2" name="PivotTable15"/>
    <pivotTable tabId="2" name="PivotTable14"/>
    <pivotTable tabId="2" name="PivotTable3"/>
    <pivotTable tabId="2" name="PivotTable4"/>
    <pivotTable tabId="2" name="PivotTable5"/>
    <pivotTable tabId="2" name="PivotTable16"/>
    <pivotTable tabId="2" name="PivotTable17"/>
    <pivotTable tabId="2" name="PivotTable19"/>
  </pivotTables>
  <data>
    <olap pivotCacheId="2077243187">
      <levels count="2">
        <level uniqueName="[Downtime_Factors].[Operator Error].[(All)]" sourceCaption="(All)" count="0"/>
        <level uniqueName="[Downtime_Factors].[Operator Error].[Operator Error]" sourceCaption="Operator Error" count="2">
          <ranges>
            <range startItem="0">
              <i n="[Downtime_Factors].[Operator Error].&amp;[No]" c="No"/>
              <i n="[Downtime_Factors].[Operator Error].&amp;[Yes]" c="Yes"/>
            </range>
          </ranges>
        </level>
      </levels>
      <selections count="1">
        <selection n="[Downtime_Factors].[Operator Error].[All]"/>
      </selections>
    </olap>
  </data>
  <extLst>
    <x:ext xmlns:x15="http://schemas.microsoft.com/office/spreadsheetml/2010/11/main" uri="{470722E0-AACD-4C17-9CDC-17EF765DBC7E}">
      <x15:slicerCacheHideItemsWithNoData count="1">
        <x15:slicerCacheOlapLevelName uniqueName="[Downtime_Factors].[Operator Error].[Operator Error]" count="0"/>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EAA50BA3-8BD2-4F69-AAE9-DB8EDEBFFEB4}" sourceName="[Line_Productivity].[Month]">
  <pivotTables>
    <pivotTable tabId="2" name="PivotTable2"/>
    <pivotTable tabId="2" name="PivotTable1"/>
    <pivotTable tabId="2" name="PivotTable10"/>
    <pivotTable tabId="2" name="PivotTable11"/>
    <pivotTable tabId="2" name="PivotTable12"/>
    <pivotTable tabId="2" name="PivotTable13"/>
    <pivotTable tabId="2" name="PivotTable15"/>
    <pivotTable tabId="2" name="PivotTable3"/>
    <pivotTable tabId="2" name="PivotTable4"/>
    <pivotTable tabId="2" name="PivotTable7"/>
    <pivotTable tabId="2" name="PivotTable8"/>
    <pivotTable tabId="2" name="PivotTable9"/>
    <pivotTable tabId="2" name="PivotTable14"/>
    <pivotTable tabId="2" name="PivotTable5"/>
    <pivotTable tabId="2" name="PivotTable16"/>
    <pivotTable tabId="2" name="PivotTable17"/>
    <pivotTable tabId="2" name="PivotTable6"/>
    <pivotTable tabId="2" name="PivotTable18"/>
    <pivotTable tabId="2" name="PivotTable19"/>
  </pivotTables>
  <data>
    <olap pivotCacheId="2077243187">
      <levels count="2">
        <level uniqueName="[Line_Productivity].[Month].[(All)]" sourceCaption="(All)" count="0"/>
        <level uniqueName="[Line_Productivity].[Month].[Month]" sourceCaption="Month" count="2">
          <ranges>
            <range startItem="0">
              <i n="[Line_Productivity].[Month].&amp;[August]" c="August"/>
              <i n="[Line_Productivity].[Month].&amp;[September]" c="September"/>
            </range>
          </ranges>
        </level>
      </levels>
      <selections count="1">
        <selection n="[Line_Productivity].[Month].[All]"/>
      </selections>
    </olap>
  </data>
  <extLst>
    <x:ext xmlns:x15="http://schemas.microsoft.com/office/spreadsheetml/2010/11/main" uri="{470722E0-AACD-4C17-9CDC-17EF765DBC7E}">
      <x15:slicerCacheHideItemsWithNoData count="1">
        <x15:slicerCacheOlapLevelName uniqueName="[Line_Productivity].[Month].[Month]" count="0"/>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571A8DCA-F9DF-4C4C-8140-AD860708208D}" sourceName="[Line_Productivity].[Year]">
  <pivotTables>
    <pivotTable tabId="2" name="PivotTable2"/>
    <pivotTable tabId="2" name="PivotTable1"/>
    <pivotTable tabId="2" name="PivotTable10"/>
    <pivotTable tabId="2" name="PivotTable11"/>
    <pivotTable tabId="2" name="PivotTable12"/>
    <pivotTable tabId="2" name="PivotTable13"/>
    <pivotTable tabId="2" name="PivotTable15"/>
    <pivotTable tabId="2" name="PivotTable7"/>
    <pivotTable tabId="2" name="PivotTable8"/>
    <pivotTable tabId="2" name="PivotTable9"/>
    <pivotTable tabId="2" name="PivotTable14"/>
    <pivotTable tabId="2" name="PivotTable16"/>
    <pivotTable tabId="2" name="PivotTable17"/>
    <pivotTable tabId="2" name="PivotTable6"/>
    <pivotTable tabId="2" name="PivotTable18"/>
    <pivotTable tabId="2" name="PivotTable19"/>
  </pivotTables>
  <data>
    <olap pivotCacheId="2077243187">
      <levels count="2">
        <level uniqueName="[Line_Productivity].[Year].[(All)]" sourceCaption="(All)" count="0"/>
        <level uniqueName="[Line_Productivity].[Year].[Year]" sourceCaption="Year" count="1">
          <ranges>
            <range startItem="0">
              <i n="[Line_Productivity].[Year].&amp;[2024]" c="2024"/>
            </range>
          </ranges>
        </level>
      </levels>
      <selections count="1">
        <selection n="[Line_Productivity].[Year].[All]"/>
      </selections>
    </olap>
  </data>
  <extLst>
    <x:ext xmlns:x15="http://schemas.microsoft.com/office/spreadsheetml/2010/11/main" uri="{470722E0-AACD-4C17-9CDC-17EF765DBC7E}">
      <x15:slicerCacheHideItemsWithNoData count="1">
        <x15:slicerCacheOlapLevelName uniqueName="[Line_Productivity].[Year].[Year]" count="0"/>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Operator" xr10:uid="{48AA4519-5DFE-4316-8E24-7538DF792F0E}" cache="Slicer_Operator" caption="Operator" columnCount="2" level="1" style="RED STYLE" rowHeight="241300"/>
  <slicer name="Operator Error" xr10:uid="{867B58C1-DE04-4BE9-A8DC-F4778C318E1F}" cache="Slicer_Operator_Error" caption="Operator Error" level="1" style="RED STYLE" rowHeight="241300"/>
  <slicer name="Month" xr10:uid="{E3DB7B25-03CF-4465-9263-F35A0802A338}" cache="Slicer_Month" caption="Month" level="1" style="RED STYLE" rowHeight="241300"/>
  <slicer name="Year" xr10:uid="{3BF5ABE1-4692-475C-8FED-8991A758014D}" cache="Slicer_Year" caption="Year" columnCount="2" level="1" style="RED STYLE" rowHeight="241300"/>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18" Type="http://schemas.openxmlformats.org/officeDocument/2006/relationships/pivotTable" Target="../pivotTables/pivotTable18.xml"/><Relationship Id="rId3" Type="http://schemas.openxmlformats.org/officeDocument/2006/relationships/pivotTable" Target="../pivotTables/pivotTable3.xml"/><Relationship Id="rId21" Type="http://schemas.openxmlformats.org/officeDocument/2006/relationships/printerSettings" Target="../printerSettings/printerSettings2.bin"/><Relationship Id="rId7" Type="http://schemas.openxmlformats.org/officeDocument/2006/relationships/pivotTable" Target="../pivotTables/pivotTable7.xml"/><Relationship Id="rId12" Type="http://schemas.openxmlformats.org/officeDocument/2006/relationships/pivotTable" Target="../pivotTables/pivotTable12.xml"/><Relationship Id="rId17" Type="http://schemas.openxmlformats.org/officeDocument/2006/relationships/pivotTable" Target="../pivotTables/pivotTable17.xml"/><Relationship Id="rId2" Type="http://schemas.openxmlformats.org/officeDocument/2006/relationships/pivotTable" Target="../pivotTables/pivotTable2.xml"/><Relationship Id="rId16" Type="http://schemas.openxmlformats.org/officeDocument/2006/relationships/pivotTable" Target="../pivotTables/pivotTable16.xml"/><Relationship Id="rId20" Type="http://schemas.openxmlformats.org/officeDocument/2006/relationships/pivotTable" Target="../pivotTables/pivotTable20.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5" Type="http://schemas.openxmlformats.org/officeDocument/2006/relationships/pivotTable" Target="../pivotTables/pivotTable15.xml"/><Relationship Id="rId10" Type="http://schemas.openxmlformats.org/officeDocument/2006/relationships/pivotTable" Target="../pivotTables/pivotTable10.xml"/><Relationship Id="rId19" Type="http://schemas.openxmlformats.org/officeDocument/2006/relationships/pivotTable" Target="../pivotTables/pivotTable19.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BA165F-7D63-4F78-8F24-1009BDF18C8B}">
  <sheetPr codeName="Sheet2"/>
  <dimension ref="A1"/>
  <sheetViews>
    <sheetView showGridLines="0" showRowColHeaders="0" tabSelected="1" topLeftCell="AH22" zoomScaleNormal="100" workbookViewId="0">
      <selection activeCell="AI64" sqref="AI64"/>
    </sheetView>
  </sheetViews>
  <sheetFormatPr defaultRowHeight="14.5" x14ac:dyDescent="0.35"/>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A0CD51-E7C1-4B6B-B63E-166A13C0AC7B}">
  <sheetPr codeName="Sheet1"/>
  <dimension ref="C1:AX72"/>
  <sheetViews>
    <sheetView showGridLines="0" zoomScale="60" zoomScaleNormal="60" workbookViewId="0">
      <selection activeCell="BK32" sqref="BK32"/>
    </sheetView>
  </sheetViews>
  <sheetFormatPr defaultRowHeight="14.5" x14ac:dyDescent="0.35"/>
  <cols>
    <col min="1" max="1" width="2.1796875" customWidth="1"/>
    <col min="2" max="2" width="4.1796875" customWidth="1"/>
    <col min="3" max="3" width="27.26953125" bestFit="1" customWidth="1"/>
    <col min="4" max="4" width="5.54296875" bestFit="1" customWidth="1"/>
    <col min="5" max="5" width="9" style="2"/>
    <col min="6" max="6" width="22.54296875" bestFit="1" customWidth="1"/>
    <col min="7" max="7" width="16.1796875" bestFit="1" customWidth="1"/>
    <col min="8" max="9" width="8.453125" bestFit="1" customWidth="1"/>
    <col min="10" max="10" width="10.1796875" bestFit="1" customWidth="1"/>
    <col min="11" max="11" width="9" customWidth="1"/>
    <col min="13" max="13" width="9" style="2"/>
    <col min="14" max="14" width="16.54296875" style="4" bestFit="1" customWidth="1"/>
    <col min="15" max="15" width="29" style="1" bestFit="1" customWidth="1"/>
    <col min="16" max="16" width="22" bestFit="1" customWidth="1"/>
    <col min="17" max="17" width="16.1796875" style="8" bestFit="1" customWidth="1"/>
    <col min="18" max="18" width="9" style="8"/>
    <col min="19" max="19" width="9" style="2"/>
    <col min="20" max="20" width="16.54296875" bestFit="1" customWidth="1"/>
    <col min="21" max="21" width="17.54296875" bestFit="1" customWidth="1"/>
    <col min="22" max="22" width="14.453125" bestFit="1" customWidth="1"/>
    <col min="24" max="24" width="9" style="2"/>
    <col min="25" max="25" width="16.54296875" bestFit="1" customWidth="1"/>
    <col min="26" max="26" width="17.54296875" bestFit="1" customWidth="1"/>
    <col min="27" max="27" width="14" bestFit="1" customWidth="1"/>
    <col min="31" max="31" width="9" style="2"/>
    <col min="32" max="32" width="17.54296875" bestFit="1" customWidth="1"/>
    <col min="33" max="33" width="4.1796875" bestFit="1" customWidth="1"/>
    <col min="35" max="35" width="9" style="2"/>
    <col min="36" max="36" width="28.26953125" style="4" bestFit="1" customWidth="1"/>
    <col min="37" max="37" width="7.453125" style="1" customWidth="1"/>
    <col min="38" max="38" width="10.1796875" style="2" customWidth="1"/>
    <col min="39" max="39" width="17" bestFit="1" customWidth="1"/>
    <col min="41" max="41" width="9" style="2"/>
    <col min="42" max="42" width="19.81640625" style="12" bestFit="1" customWidth="1"/>
    <col min="43" max="43" width="17.54296875" style="1" bestFit="1" customWidth="1"/>
    <col min="44" max="44" width="18.7265625" bestFit="1" customWidth="1"/>
    <col min="45" max="45" width="9" style="2"/>
    <col min="46" max="46" width="23.81640625" bestFit="1" customWidth="1"/>
    <col min="47" max="47" width="23.81640625" style="4" bestFit="1" customWidth="1"/>
    <col min="48" max="48" width="19" bestFit="1" customWidth="1"/>
    <col min="49" max="49" width="21.1796875" bestFit="1" customWidth="1"/>
    <col min="50" max="50" width="22.54296875" bestFit="1" customWidth="1"/>
    <col min="51" max="51" width="14.7265625" bestFit="1" customWidth="1"/>
    <col min="52" max="52" width="18.26953125" bestFit="1" customWidth="1"/>
    <col min="53" max="53" width="23.453125" bestFit="1" customWidth="1"/>
  </cols>
  <sheetData>
    <row r="1" spans="3:50" x14ac:dyDescent="0.35">
      <c r="N1"/>
      <c r="O1"/>
      <c r="AF1" s="7" t="s">
        <v>17</v>
      </c>
      <c r="AG1" s="4" t="s" vm="1">
        <v>41</v>
      </c>
    </row>
    <row r="2" spans="3:50" x14ac:dyDescent="0.35">
      <c r="N2" s="10">
        <v>1</v>
      </c>
      <c r="AP2" s="13" t="s">
        <v>20</v>
      </c>
      <c r="AQ2" s="4" t="s">
        <v>3</v>
      </c>
      <c r="AR2" s="4" t="s">
        <v>16</v>
      </c>
      <c r="AT2" s="13" t="s">
        <v>20</v>
      </c>
      <c r="AU2" s="4" t="s">
        <v>21</v>
      </c>
      <c r="AV2" s="4" t="s">
        <v>22</v>
      </c>
    </row>
    <row r="3" spans="3:50" x14ac:dyDescent="0.35">
      <c r="C3" s="9" t="s">
        <v>13</v>
      </c>
      <c r="F3" s="9" t="s">
        <v>6</v>
      </c>
      <c r="G3" s="9" t="s">
        <v>17</v>
      </c>
      <c r="N3" s="7" t="s">
        <v>10</v>
      </c>
      <c r="O3" s="4" t="s">
        <v>6</v>
      </c>
      <c r="P3" s="4" t="s">
        <v>1</v>
      </c>
      <c r="Q3" s="4" t="s">
        <v>53</v>
      </c>
      <c r="R3"/>
      <c r="T3" s="7" t="s">
        <v>14</v>
      </c>
      <c r="U3" s="1" t="s">
        <v>3</v>
      </c>
      <c r="Y3" s="7" t="s">
        <v>17</v>
      </c>
      <c r="Z3" s="1" t="s">
        <v>3</v>
      </c>
      <c r="AF3" s="1" t="s">
        <v>3</v>
      </c>
      <c r="AJ3" s="1" t="s">
        <v>18</v>
      </c>
      <c r="AK3"/>
      <c r="AM3" s="1" t="s">
        <v>19</v>
      </c>
      <c r="AP3" s="12">
        <v>45533</v>
      </c>
      <c r="AQ3" s="1">
        <v>0.16944444444444443</v>
      </c>
      <c r="AR3" s="1">
        <v>0.16944444444444443</v>
      </c>
      <c r="AT3" s="12">
        <v>45533</v>
      </c>
      <c r="AU3" s="4">
        <v>10</v>
      </c>
      <c r="AV3" s="4">
        <v>10</v>
      </c>
    </row>
    <row r="4" spans="3:50" x14ac:dyDescent="0.35">
      <c r="C4" t="s">
        <v>4</v>
      </c>
      <c r="D4" s="3">
        <v>0.3597719025401761</v>
      </c>
      <c r="F4" s="9" t="s">
        <v>5</v>
      </c>
      <c r="G4" t="s">
        <v>40</v>
      </c>
      <c r="H4" t="s">
        <v>34</v>
      </c>
      <c r="N4" s="4" t="s">
        <v>23</v>
      </c>
      <c r="O4" s="1">
        <v>5.2083333333333329E-2</v>
      </c>
      <c r="P4" s="1">
        <v>9.375E-2</v>
      </c>
      <c r="Q4" s="1">
        <v>4.1666666666666664E-2</v>
      </c>
      <c r="R4"/>
      <c r="T4" s="4" t="s">
        <v>25</v>
      </c>
      <c r="U4" s="1">
        <v>0.20972222222222223</v>
      </c>
      <c r="Y4" s="4" t="s">
        <v>34</v>
      </c>
      <c r="Z4" s="8">
        <v>0.55907780979827093</v>
      </c>
      <c r="AF4" s="1">
        <v>0.96388888888888868</v>
      </c>
      <c r="AJ4" s="1">
        <v>2.5365497076023386E-2</v>
      </c>
      <c r="AK4"/>
      <c r="AM4" s="4">
        <v>38</v>
      </c>
      <c r="AP4" s="12">
        <v>45534</v>
      </c>
      <c r="AQ4" s="1">
        <v>0.3083333333333334</v>
      </c>
      <c r="AR4" s="1">
        <v>0.3083333333333334</v>
      </c>
      <c r="AT4" s="12">
        <v>45534</v>
      </c>
      <c r="AU4" s="4">
        <v>21</v>
      </c>
      <c r="AV4" s="4">
        <v>21</v>
      </c>
    </row>
    <row r="5" spans="3:50" x14ac:dyDescent="0.35">
      <c r="C5" t="s">
        <v>2</v>
      </c>
      <c r="D5" s="3">
        <v>0.64022809745982368</v>
      </c>
      <c r="F5" t="s">
        <v>35</v>
      </c>
      <c r="G5" s="1">
        <v>1.1805555555555555E-2</v>
      </c>
      <c r="H5" s="1"/>
      <c r="K5" s="1"/>
      <c r="L5" s="6"/>
      <c r="N5" s="4" t="s">
        <v>24</v>
      </c>
      <c r="O5" s="1">
        <v>7.9861111111111119E-2</v>
      </c>
      <c r="P5" s="1">
        <v>0.24652777777777776</v>
      </c>
      <c r="Q5" s="1">
        <v>0.16666666666666666</v>
      </c>
      <c r="R5"/>
      <c r="T5" s="4" t="s">
        <v>26</v>
      </c>
      <c r="U5" s="1">
        <v>0.23055555555555557</v>
      </c>
      <c r="Y5" s="4" t="s">
        <v>40</v>
      </c>
      <c r="Z5" s="8">
        <v>0.44092219020172918</v>
      </c>
      <c r="AJ5"/>
      <c r="AK5"/>
      <c r="AP5" s="12">
        <v>45535</v>
      </c>
      <c r="AQ5" s="1">
        <v>0.11458333333333334</v>
      </c>
      <c r="AR5" s="1">
        <v>0.11458333333333334</v>
      </c>
      <c r="AT5" s="12">
        <v>45535</v>
      </c>
      <c r="AU5" s="4">
        <v>8</v>
      </c>
      <c r="AV5" s="4">
        <v>8</v>
      </c>
    </row>
    <row r="6" spans="3:50" x14ac:dyDescent="0.35">
      <c r="F6" t="s">
        <v>28</v>
      </c>
      <c r="G6" s="1"/>
      <c r="H6" s="1">
        <v>2.2916666666666665E-2</v>
      </c>
      <c r="K6" s="1"/>
      <c r="L6" s="6"/>
      <c r="N6" s="4" t="s">
        <v>12</v>
      </c>
      <c r="O6" s="1">
        <v>0.11736111111111111</v>
      </c>
      <c r="P6" s="1">
        <v>0.36736111111111114</v>
      </c>
      <c r="Q6" s="1">
        <v>0.24999999999999997</v>
      </c>
      <c r="R6"/>
      <c r="T6" s="4" t="s">
        <v>27</v>
      </c>
      <c r="U6" s="1">
        <v>0.25694444444444448</v>
      </c>
      <c r="Y6" s="4" t="s">
        <v>0</v>
      </c>
      <c r="Z6" s="8">
        <v>1</v>
      </c>
      <c r="AJ6"/>
      <c r="AK6"/>
      <c r="AP6" s="12">
        <v>45537</v>
      </c>
      <c r="AQ6" s="1">
        <v>0.34930555555555559</v>
      </c>
      <c r="AR6" s="1">
        <v>0.34930555555555559</v>
      </c>
      <c r="AT6" s="12">
        <v>45537</v>
      </c>
      <c r="AU6" s="4">
        <v>20</v>
      </c>
      <c r="AV6" s="4">
        <v>20</v>
      </c>
    </row>
    <row r="7" spans="3:50" x14ac:dyDescent="0.35">
      <c r="F7" t="s">
        <v>36</v>
      </c>
      <c r="G7" s="1">
        <v>2.9166666666666667E-2</v>
      </c>
      <c r="H7" s="1"/>
      <c r="K7" s="1"/>
      <c r="L7" s="6"/>
      <c r="N7" s="4" t="s">
        <v>65</v>
      </c>
      <c r="O7" s="1">
        <v>0.1791666666666667</v>
      </c>
      <c r="P7" s="1">
        <v>0.47083333333333333</v>
      </c>
      <c r="Q7" s="1">
        <v>0.29166666666666663</v>
      </c>
      <c r="R7"/>
      <c r="T7" s="4" t="s">
        <v>15</v>
      </c>
      <c r="U7" s="1">
        <v>0.26666666666666666</v>
      </c>
      <c r="AJ7"/>
      <c r="AK7"/>
      <c r="AP7" s="12">
        <v>45538</v>
      </c>
      <c r="AQ7" s="1">
        <v>2.2222222222222223E-2</v>
      </c>
      <c r="AR7" s="1">
        <v>2.2222222222222223E-2</v>
      </c>
      <c r="AT7" s="12">
        <v>45538</v>
      </c>
      <c r="AU7" s="4">
        <v>2</v>
      </c>
      <c r="AV7" s="4">
        <v>2</v>
      </c>
    </row>
    <row r="8" spans="3:50" x14ac:dyDescent="0.35">
      <c r="C8" s="1"/>
      <c r="F8" t="s">
        <v>29</v>
      </c>
      <c r="G8" s="1"/>
      <c r="H8" s="1">
        <v>3.4027777777777775E-2</v>
      </c>
      <c r="K8" s="1"/>
      <c r="L8" s="6"/>
      <c r="N8" s="4" t="s">
        <v>11</v>
      </c>
      <c r="O8" s="1">
        <v>0.19236111111111112</v>
      </c>
      <c r="P8" s="1">
        <v>0.53263888888888888</v>
      </c>
      <c r="Q8" s="1">
        <v>0.34027777777777773</v>
      </c>
      <c r="R8"/>
      <c r="T8" s="4" t="s">
        <v>0</v>
      </c>
      <c r="U8" s="1">
        <v>0.96388888888888868</v>
      </c>
      <c r="AJ8"/>
      <c r="AK8"/>
      <c r="AP8" s="12" t="s">
        <v>0</v>
      </c>
      <c r="AQ8" s="1">
        <v>0.96388888888888868</v>
      </c>
      <c r="AR8" s="1">
        <v>0.96388888888888868</v>
      </c>
      <c r="AT8" s="12" t="s">
        <v>0</v>
      </c>
      <c r="AU8" s="4">
        <v>61</v>
      </c>
      <c r="AV8" s="4">
        <v>61</v>
      </c>
    </row>
    <row r="9" spans="3:50" x14ac:dyDescent="0.35">
      <c r="F9" t="s">
        <v>30</v>
      </c>
      <c r="G9" s="1"/>
      <c r="H9" s="1">
        <v>3.9583333333333331E-2</v>
      </c>
      <c r="K9" s="1"/>
      <c r="L9" s="6"/>
      <c r="N9" s="4" t="s">
        <v>54</v>
      </c>
      <c r="O9" s="1">
        <v>0.34305555555555561</v>
      </c>
      <c r="P9" s="1">
        <v>0.96805555555555567</v>
      </c>
      <c r="Q9" s="1">
        <v>0.62499999999999989</v>
      </c>
      <c r="R9"/>
      <c r="AJ9"/>
      <c r="AK9"/>
    </row>
    <row r="10" spans="3:50" x14ac:dyDescent="0.35">
      <c r="F10" t="s">
        <v>37</v>
      </c>
      <c r="G10" s="1">
        <v>5.1388888888888887E-2</v>
      </c>
      <c r="H10" s="1"/>
      <c r="K10" s="1"/>
      <c r="L10" s="6"/>
      <c r="N10" s="4" t="s">
        <v>0</v>
      </c>
      <c r="O10" s="1">
        <v>0.96388888888888868</v>
      </c>
      <c r="P10" s="1">
        <v>2.6791666666666671</v>
      </c>
      <c r="Q10" s="1">
        <v>1.7152777777777779</v>
      </c>
      <c r="R10"/>
      <c r="AJ10"/>
      <c r="AK10"/>
      <c r="AT10" s="9" t="s">
        <v>10</v>
      </c>
      <c r="AU10" s="9" t="s">
        <v>5</v>
      </c>
      <c r="AV10" s="9" t="s">
        <v>44</v>
      </c>
      <c r="AW10" t="s">
        <v>3</v>
      </c>
      <c r="AX10" t="s">
        <v>52</v>
      </c>
    </row>
    <row r="11" spans="3:50" x14ac:dyDescent="0.35">
      <c r="C11" s="9" t="s">
        <v>13</v>
      </c>
      <c r="F11" t="s">
        <v>31</v>
      </c>
      <c r="G11" s="1"/>
      <c r="H11" s="1">
        <v>0.10069444444444443</v>
      </c>
      <c r="K11" s="1"/>
      <c r="L11" s="6"/>
      <c r="N11"/>
      <c r="O11"/>
      <c r="Q11"/>
      <c r="AJ11"/>
      <c r="AK11"/>
      <c r="AT11" t="s">
        <v>11</v>
      </c>
      <c r="AU11" t="s">
        <v>38</v>
      </c>
      <c r="AV11" t="s">
        <v>47</v>
      </c>
      <c r="AW11" s="1">
        <v>1.7361111111111112E-2</v>
      </c>
      <c r="AX11" s="17">
        <v>1</v>
      </c>
    </row>
    <row r="12" spans="3:50" x14ac:dyDescent="0.35">
      <c r="C12" t="s">
        <v>2</v>
      </c>
      <c r="D12" s="3">
        <v>0.64022809745982368</v>
      </c>
      <c r="F12" t="s">
        <v>32</v>
      </c>
      <c r="G12" s="1"/>
      <c r="H12" s="1">
        <v>0.1111111111111111</v>
      </c>
      <c r="K12" s="1"/>
      <c r="L12" s="6"/>
      <c r="N12" s="5">
        <v>2</v>
      </c>
      <c r="O12"/>
      <c r="Q12"/>
      <c r="AJ12"/>
      <c r="AK12"/>
      <c r="AU12"/>
      <c r="AV12" t="s">
        <v>55</v>
      </c>
      <c r="AW12" s="1">
        <v>1.1805555555555555E-2</v>
      </c>
      <c r="AX12" s="17">
        <v>1</v>
      </c>
    </row>
    <row r="13" spans="3:50" x14ac:dyDescent="0.35">
      <c r="C13" t="s">
        <v>4</v>
      </c>
      <c r="D13" s="3">
        <v>0.3597719025401761</v>
      </c>
      <c r="F13" t="s">
        <v>38</v>
      </c>
      <c r="G13" s="1">
        <v>0.15625</v>
      </c>
      <c r="H13" s="1"/>
      <c r="K13" s="1"/>
      <c r="L13" s="6"/>
      <c r="N13" s="7" t="s">
        <v>10</v>
      </c>
      <c r="O13" s="4" t="s">
        <v>3</v>
      </c>
      <c r="P13" s="4" t="s">
        <v>1</v>
      </c>
      <c r="Q13" s="4" t="s">
        <v>9</v>
      </c>
      <c r="AJ13"/>
      <c r="AK13"/>
      <c r="AU13" t="s">
        <v>33</v>
      </c>
      <c r="AV13" t="s">
        <v>66</v>
      </c>
      <c r="AW13" s="1">
        <v>2.0833333333333332E-2</v>
      </c>
      <c r="AX13" s="17">
        <v>1</v>
      </c>
    </row>
    <row r="14" spans="3:50" x14ac:dyDescent="0.35">
      <c r="F14" t="s">
        <v>39</v>
      </c>
      <c r="G14" s="1">
        <v>0.1763888888888889</v>
      </c>
      <c r="H14" s="1"/>
      <c r="K14" s="1"/>
      <c r="L14" s="6"/>
      <c r="N14" s="4" t="s">
        <v>23</v>
      </c>
      <c r="O14" s="1">
        <v>5.2083333333333329E-2</v>
      </c>
      <c r="P14" s="1">
        <v>9.375E-2</v>
      </c>
      <c r="Q14" s="1">
        <v>4.1666666666666664E-2</v>
      </c>
      <c r="Y14" s="7" t="s">
        <v>17</v>
      </c>
      <c r="Z14" s="1" t="s">
        <v>3</v>
      </c>
      <c r="AJ14"/>
      <c r="AK14"/>
      <c r="AU14"/>
      <c r="AV14" t="s">
        <v>55</v>
      </c>
      <c r="AW14" s="1">
        <v>4.1666666666666664E-2</v>
      </c>
      <c r="AX14" s="17">
        <v>1</v>
      </c>
    </row>
    <row r="15" spans="3:50" x14ac:dyDescent="0.35">
      <c r="F15" t="s">
        <v>33</v>
      </c>
      <c r="G15" s="1"/>
      <c r="H15" s="1">
        <v>0.23055555555555554</v>
      </c>
      <c r="K15" s="1"/>
      <c r="L15" s="6"/>
      <c r="N15" s="4" t="s">
        <v>24</v>
      </c>
      <c r="O15" s="1">
        <v>7.9861111111111119E-2</v>
      </c>
      <c r="P15" s="1">
        <v>0.24652777777777776</v>
      </c>
      <c r="Q15" s="1">
        <v>0.16666666666666666</v>
      </c>
      <c r="Y15" s="4" t="s">
        <v>34</v>
      </c>
      <c r="Z15" s="1">
        <v>0.53888888888888886</v>
      </c>
      <c r="AJ15"/>
      <c r="AK15"/>
      <c r="AU15"/>
      <c r="AV15" t="s">
        <v>56</v>
      </c>
      <c r="AW15" s="1">
        <v>2.0833333333333332E-2</v>
      </c>
      <c r="AX15" s="17">
        <v>1</v>
      </c>
    </row>
    <row r="16" spans="3:50" x14ac:dyDescent="0.35">
      <c r="C16" s="18" t="s">
        <v>8</v>
      </c>
      <c r="L16" s="6"/>
      <c r="N16" s="4" t="s">
        <v>12</v>
      </c>
      <c r="O16" s="1">
        <v>0.11736111111111111</v>
      </c>
      <c r="P16" s="1">
        <v>0.36736111111111114</v>
      </c>
      <c r="Q16" s="1">
        <v>0.24999999999999997</v>
      </c>
      <c r="Y16" s="4" t="s">
        <v>40</v>
      </c>
      <c r="Z16" s="1">
        <v>0.42499999999999999</v>
      </c>
      <c r="AJ16"/>
      <c r="AK16"/>
      <c r="AU16" t="s">
        <v>31</v>
      </c>
      <c r="AV16" t="s">
        <v>66</v>
      </c>
      <c r="AW16" s="1">
        <v>1.6666666666666666E-2</v>
      </c>
      <c r="AX16" s="17">
        <v>1</v>
      </c>
    </row>
    <row r="17" spans="3:50" x14ac:dyDescent="0.35">
      <c r="C17" s="1">
        <v>1.7152777777777779</v>
      </c>
      <c r="N17" s="4" t="s">
        <v>65</v>
      </c>
      <c r="O17" s="1">
        <v>0.1791666666666667</v>
      </c>
      <c r="P17" s="1">
        <v>0.47083333333333333</v>
      </c>
      <c r="Q17" s="1">
        <v>0.29166666666666663</v>
      </c>
      <c r="AJ17"/>
      <c r="AK17"/>
      <c r="AN17" s="1"/>
      <c r="AU17"/>
      <c r="AV17" t="s">
        <v>47</v>
      </c>
      <c r="AW17" s="1">
        <v>4.8611111111111112E-3</v>
      </c>
      <c r="AX17" s="17">
        <v>1</v>
      </c>
    </row>
    <row r="18" spans="3:50" x14ac:dyDescent="0.35">
      <c r="N18" s="4" t="s">
        <v>11</v>
      </c>
      <c r="O18" s="1">
        <v>0.19236111111111112</v>
      </c>
      <c r="P18" s="1">
        <v>0.53263888888888888</v>
      </c>
      <c r="Q18" s="1">
        <v>0.34027777777777773</v>
      </c>
      <c r="AJ18"/>
      <c r="AK18"/>
      <c r="AU18" t="s">
        <v>39</v>
      </c>
      <c r="AV18" t="s">
        <v>55</v>
      </c>
      <c r="AW18" s="1">
        <v>2.0833333333333332E-2</v>
      </c>
      <c r="AX18" s="17">
        <v>1</v>
      </c>
    </row>
    <row r="19" spans="3:50" x14ac:dyDescent="0.35">
      <c r="N19" s="4" t="s">
        <v>54</v>
      </c>
      <c r="O19" s="1">
        <v>0.34305555555555561</v>
      </c>
      <c r="P19" s="1">
        <v>0.96805555555555567</v>
      </c>
      <c r="Q19" s="1">
        <v>0.62499999999999989</v>
      </c>
      <c r="AJ19"/>
      <c r="AK19"/>
      <c r="AU19"/>
      <c r="AV19" t="s">
        <v>56</v>
      </c>
      <c r="AW19" s="1">
        <v>1.7361111111111112E-2</v>
      </c>
      <c r="AX19" s="17">
        <v>1</v>
      </c>
    </row>
    <row r="20" spans="3:50" x14ac:dyDescent="0.35">
      <c r="C20" s="18" t="s">
        <v>1</v>
      </c>
      <c r="H20" t="str">
        <f t="shared" ref="H20" si="0">IF(ISBLANK(H3),"",H3)</f>
        <v/>
      </c>
      <c r="N20" s="4" t="s">
        <v>0</v>
      </c>
      <c r="O20" s="1">
        <v>0.96388888888888868</v>
      </c>
      <c r="P20" s="1">
        <v>2.6791666666666671</v>
      </c>
      <c r="Q20" s="1">
        <v>1.7152777777777779</v>
      </c>
      <c r="AJ20"/>
      <c r="AK20"/>
      <c r="AU20" t="s">
        <v>37</v>
      </c>
      <c r="AV20" t="s">
        <v>56</v>
      </c>
      <c r="AW20" s="1">
        <v>4.8611111111111112E-3</v>
      </c>
      <c r="AX20" s="17">
        <v>1</v>
      </c>
    </row>
    <row r="21" spans="3:50" x14ac:dyDescent="0.35">
      <c r="C21" s="1">
        <v>2.6791666666666671</v>
      </c>
      <c r="F21" s="16" t="s">
        <v>5</v>
      </c>
      <c r="G21" s="16" t="s">
        <v>43</v>
      </c>
      <c r="H21" s="16" t="s">
        <v>40</v>
      </c>
      <c r="I21" t="s">
        <v>34</v>
      </c>
      <c r="N21"/>
      <c r="O21"/>
      <c r="Q21"/>
      <c r="Z21" s="1">
        <f>IF(ISBLANK(Z15),"",Z15)</f>
        <v>0.53888888888888886</v>
      </c>
      <c r="AJ21"/>
      <c r="AK21"/>
      <c r="AU21" t="s">
        <v>36</v>
      </c>
      <c r="AV21" t="s">
        <v>57</v>
      </c>
      <c r="AW21" s="1">
        <v>1.5277777777777777E-2</v>
      </c>
      <c r="AX21" s="17">
        <v>1</v>
      </c>
    </row>
    <row r="22" spans="3:50" x14ac:dyDescent="0.35">
      <c r="F22" s="16" t="str">
        <f t="shared" ref="F22:F30" si="1">IF(ISBLANK(F5),"",F5)</f>
        <v>Conveyor Belt Jam</v>
      </c>
      <c r="G22" s="15">
        <f>IF(G5="", IF(H5=0, "", H5), G5)</f>
        <v>1.1805555555555555E-2</v>
      </c>
      <c r="H22" s="15">
        <f t="shared" ref="H22:I31" si="2">IF(ISBLANK(G5),"",G5)</f>
        <v>1.1805555555555555E-2</v>
      </c>
      <c r="I22" s="15" t="str">
        <f t="shared" si="2"/>
        <v/>
      </c>
      <c r="N22"/>
      <c r="O22"/>
      <c r="Q22"/>
      <c r="Z22" s="1">
        <f>IF(ISBLANK(Z16),"",Z16)</f>
        <v>0.42499999999999999</v>
      </c>
      <c r="AJ22"/>
      <c r="AK22"/>
      <c r="AT22" t="s">
        <v>54</v>
      </c>
      <c r="AU22" t="s">
        <v>38</v>
      </c>
      <c r="AV22" t="s">
        <v>75</v>
      </c>
      <c r="AW22" s="1">
        <v>1.3888888888888888E-2</v>
      </c>
      <c r="AX22" s="17">
        <v>1</v>
      </c>
    </row>
    <row r="23" spans="3:50" x14ac:dyDescent="0.35">
      <c r="C23" s="18" t="s">
        <v>3</v>
      </c>
      <c r="F23" s="16" t="str">
        <f t="shared" si="1"/>
        <v>Label Switch</v>
      </c>
      <c r="G23" s="15">
        <f t="shared" ref="G23:G32" si="3">IF(G6="", IF(H6=0, "", H6), G6)</f>
        <v>2.2916666666666665E-2</v>
      </c>
      <c r="H23" s="15" t="str">
        <f t="shared" si="2"/>
        <v/>
      </c>
      <c r="I23" s="15">
        <f t="shared" si="2"/>
        <v>2.2916666666666665E-2</v>
      </c>
      <c r="N23"/>
      <c r="O23"/>
      <c r="Q23"/>
      <c r="AJ23"/>
      <c r="AK23"/>
      <c r="AU23"/>
      <c r="AV23" t="s">
        <v>76</v>
      </c>
      <c r="AW23" s="1">
        <v>1.3888888888888888E-2</v>
      </c>
      <c r="AX23" s="17">
        <v>1</v>
      </c>
    </row>
    <row r="24" spans="3:50" x14ac:dyDescent="0.35">
      <c r="C24" s="1">
        <v>0.96388888888888868</v>
      </c>
      <c r="F24" s="16" t="str">
        <f t="shared" si="1"/>
        <v>Labeling Error</v>
      </c>
      <c r="G24" s="15">
        <f t="shared" si="3"/>
        <v>2.9166666666666667E-2</v>
      </c>
      <c r="H24" s="15">
        <f t="shared" si="2"/>
        <v>2.9166666666666667E-2</v>
      </c>
      <c r="I24" s="15" t="str">
        <f t="shared" si="2"/>
        <v/>
      </c>
      <c r="N24"/>
      <c r="O24"/>
      <c r="Q24"/>
      <c r="AJ24"/>
      <c r="AK24"/>
      <c r="AU24"/>
      <c r="AV24" t="s">
        <v>77</v>
      </c>
      <c r="AW24" s="1">
        <v>1.7361111111111112E-2</v>
      </c>
      <c r="AX24" s="17">
        <v>1</v>
      </c>
    </row>
    <row r="25" spans="3:50" x14ac:dyDescent="0.35">
      <c r="F25" s="16" t="str">
        <f t="shared" si="1"/>
        <v>Calibration Error</v>
      </c>
      <c r="G25" s="15">
        <f t="shared" si="3"/>
        <v>3.4027777777777775E-2</v>
      </c>
      <c r="H25" s="15" t="str">
        <f t="shared" si="2"/>
        <v/>
      </c>
      <c r="I25" s="15">
        <f t="shared" si="2"/>
        <v>3.4027777777777775E-2</v>
      </c>
      <c r="N25"/>
      <c r="O25"/>
      <c r="Q25"/>
      <c r="AJ25"/>
      <c r="AK25"/>
      <c r="AU25"/>
      <c r="AV25" t="s">
        <v>68</v>
      </c>
      <c r="AW25" s="1">
        <v>2.9861111111111113E-2</v>
      </c>
      <c r="AX25" s="17">
        <v>1</v>
      </c>
    </row>
    <row r="26" spans="3:50" x14ac:dyDescent="0.35">
      <c r="F26" s="16" t="str">
        <f t="shared" si="1"/>
        <v>Product Spill</v>
      </c>
      <c r="G26" s="15">
        <f t="shared" si="3"/>
        <v>3.9583333333333331E-2</v>
      </c>
      <c r="H26" s="15" t="str">
        <f t="shared" si="2"/>
        <v/>
      </c>
      <c r="I26" s="15">
        <f t="shared" si="2"/>
        <v>3.9583333333333331E-2</v>
      </c>
      <c r="N26"/>
      <c r="O26"/>
      <c r="Q26"/>
      <c r="AJ26"/>
      <c r="AK26"/>
      <c r="AU26" t="s">
        <v>33</v>
      </c>
      <c r="AV26" t="s">
        <v>74</v>
      </c>
      <c r="AW26" s="1">
        <v>9.7222222222222224E-3</v>
      </c>
      <c r="AX26" s="17">
        <v>1</v>
      </c>
    </row>
    <row r="27" spans="3:50" x14ac:dyDescent="0.35">
      <c r="C27" s="18" t="s">
        <v>7</v>
      </c>
      <c r="F27" s="16" t="str">
        <f t="shared" si="1"/>
        <v>Other</v>
      </c>
      <c r="G27" s="15">
        <f t="shared" si="3"/>
        <v>5.1388888888888887E-2</v>
      </c>
      <c r="H27" s="15">
        <f t="shared" si="2"/>
        <v>5.1388888888888887E-2</v>
      </c>
      <c r="I27" s="15" t="str">
        <f t="shared" si="2"/>
        <v/>
      </c>
      <c r="N27"/>
      <c r="O27"/>
      <c r="Q27"/>
      <c r="Y27" s="7" t="s">
        <v>17</v>
      </c>
      <c r="Z27" s="1" t="s">
        <v>3</v>
      </c>
      <c r="AJ27"/>
      <c r="AK27"/>
      <c r="AU27"/>
      <c r="AV27" t="s">
        <v>67</v>
      </c>
      <c r="AW27" s="1">
        <v>1.3888888888888888E-2</v>
      </c>
      <c r="AX27" s="17">
        <v>1</v>
      </c>
    </row>
    <row r="28" spans="3:50" x14ac:dyDescent="0.35">
      <c r="C28" s="17">
        <v>61</v>
      </c>
      <c r="F28" s="16" t="str">
        <f t="shared" si="1"/>
        <v>Batch Coding Error</v>
      </c>
      <c r="G28" s="15">
        <f t="shared" si="3"/>
        <v>0.10069444444444443</v>
      </c>
      <c r="H28" s="15" t="str">
        <f t="shared" si="2"/>
        <v/>
      </c>
      <c r="I28" s="15">
        <f t="shared" si="2"/>
        <v>0.10069444444444443</v>
      </c>
      <c r="N28"/>
      <c r="O28"/>
      <c r="Q28"/>
      <c r="Y28" s="4" t="s">
        <v>34</v>
      </c>
      <c r="Z28" s="1">
        <v>0.53888888888888886</v>
      </c>
      <c r="AJ28"/>
      <c r="AK28"/>
      <c r="AU28"/>
      <c r="AV28" t="s">
        <v>59</v>
      </c>
      <c r="AW28" s="1">
        <v>1.5972222222222221E-2</v>
      </c>
      <c r="AX28" s="17">
        <v>1</v>
      </c>
    </row>
    <row r="29" spans="3:50" x14ac:dyDescent="0.35">
      <c r="F29" s="16" t="str">
        <f>IF(ISBLANK(F12),"",F12)</f>
        <v>Batch Change</v>
      </c>
      <c r="G29" s="15">
        <f t="shared" si="3"/>
        <v>0.1111111111111111</v>
      </c>
      <c r="H29" s="15" t="str">
        <f t="shared" si="2"/>
        <v/>
      </c>
      <c r="I29" s="15">
        <f t="shared" si="2"/>
        <v>0.1111111111111111</v>
      </c>
      <c r="N29"/>
      <c r="Y29" s="4" t="s">
        <v>40</v>
      </c>
      <c r="Z29" s="1">
        <v>0.42499999999999999</v>
      </c>
      <c r="AJ29"/>
      <c r="AK29"/>
      <c r="AU29" t="s">
        <v>28</v>
      </c>
      <c r="AV29" t="s">
        <v>74</v>
      </c>
      <c r="AW29" s="1">
        <v>6.9444444444444441E-3</v>
      </c>
      <c r="AX29" s="17">
        <v>1</v>
      </c>
    </row>
    <row r="30" spans="3:50" x14ac:dyDescent="0.35">
      <c r="F30" s="16" t="str">
        <f t="shared" si="1"/>
        <v>Inventory Shortage</v>
      </c>
      <c r="G30" s="15">
        <f t="shared" si="3"/>
        <v>0.15625</v>
      </c>
      <c r="H30" s="15">
        <f t="shared" si="2"/>
        <v>0.15625</v>
      </c>
      <c r="I30" s="15" t="str">
        <f t="shared" si="2"/>
        <v/>
      </c>
      <c r="N30"/>
      <c r="Y30" s="4" t="s">
        <v>0</v>
      </c>
      <c r="Z30" s="1">
        <v>0.96388888888888868</v>
      </c>
      <c r="AJ30"/>
      <c r="AK30"/>
      <c r="AU30"/>
      <c r="AV30" t="s">
        <v>61</v>
      </c>
      <c r="AW30" s="1">
        <v>6.9444444444444441E-3</v>
      </c>
      <c r="AX30" s="17">
        <v>1</v>
      </c>
    </row>
    <row r="31" spans="3:50" x14ac:dyDescent="0.35">
      <c r="F31" s="16" t="str">
        <f>IF(ISBLANK(F14),"",F14)</f>
        <v>Machine Failure</v>
      </c>
      <c r="G31" s="15">
        <f t="shared" si="3"/>
        <v>0.1763888888888889</v>
      </c>
      <c r="H31" s="15">
        <f t="shared" si="2"/>
        <v>0.1763888888888889</v>
      </c>
      <c r="I31" s="15" t="str">
        <f t="shared" si="2"/>
        <v/>
      </c>
      <c r="N31"/>
      <c r="AJ31"/>
      <c r="AK31"/>
      <c r="AU31" t="s">
        <v>29</v>
      </c>
      <c r="AV31" t="s">
        <v>75</v>
      </c>
      <c r="AW31" s="1">
        <v>6.9444444444444441E-3</v>
      </c>
      <c r="AX31" s="17">
        <v>1</v>
      </c>
    </row>
    <row r="32" spans="3:50" x14ac:dyDescent="0.35">
      <c r="F32" s="16" t="str">
        <f>IF(ISBLANK(F15),"",F15)</f>
        <v>Machine Adjustment</v>
      </c>
      <c r="G32" s="15">
        <f t="shared" si="3"/>
        <v>0.23055555555555554</v>
      </c>
      <c r="H32" s="15"/>
      <c r="N32"/>
      <c r="AJ32"/>
      <c r="AK32"/>
      <c r="AU32" t="s">
        <v>31</v>
      </c>
      <c r="AV32" t="s">
        <v>58</v>
      </c>
      <c r="AW32" s="1">
        <v>3.0555555555555555E-2</v>
      </c>
      <c r="AX32" s="17">
        <v>1</v>
      </c>
    </row>
    <row r="33" spans="6:50" x14ac:dyDescent="0.35">
      <c r="G33" s="15"/>
      <c r="N33"/>
      <c r="P33" s="14">
        <f ca="1">TODAY()</f>
        <v>45995</v>
      </c>
      <c r="AJ33"/>
      <c r="AK33"/>
      <c r="AU33" t="s">
        <v>39</v>
      </c>
      <c r="AV33" t="s">
        <v>68</v>
      </c>
      <c r="AW33" s="1">
        <v>2.0833333333333332E-2</v>
      </c>
      <c r="AX33" s="17">
        <v>1</v>
      </c>
    </row>
    <row r="34" spans="6:50" x14ac:dyDescent="0.35">
      <c r="N34"/>
      <c r="AJ34"/>
      <c r="AK34"/>
      <c r="AU34"/>
      <c r="AV34" t="s">
        <v>74</v>
      </c>
      <c r="AW34" s="1">
        <v>1.1111111111111112E-2</v>
      </c>
      <c r="AX34" s="17">
        <v>1</v>
      </c>
    </row>
    <row r="35" spans="6:50" x14ac:dyDescent="0.35">
      <c r="N35"/>
      <c r="AJ35"/>
      <c r="AK35"/>
      <c r="AU35"/>
      <c r="AV35" t="s">
        <v>69</v>
      </c>
      <c r="AW35" s="1">
        <v>1.0416666666666666E-2</v>
      </c>
      <c r="AX35" s="17">
        <v>1</v>
      </c>
    </row>
    <row r="36" spans="6:50" x14ac:dyDescent="0.35">
      <c r="Q36"/>
      <c r="R36"/>
      <c r="AJ36"/>
      <c r="AK36"/>
      <c r="AU36"/>
      <c r="AV36" t="s">
        <v>70</v>
      </c>
      <c r="AW36" s="1">
        <v>1.7361111111111112E-2</v>
      </c>
      <c r="AX36" s="17">
        <v>1</v>
      </c>
    </row>
    <row r="37" spans="6:50" x14ac:dyDescent="0.35">
      <c r="Q37"/>
      <c r="R37"/>
      <c r="AJ37"/>
      <c r="AK37"/>
      <c r="AU37"/>
      <c r="AV37" t="s">
        <v>60</v>
      </c>
      <c r="AW37" s="1">
        <v>2.0833333333333332E-2</v>
      </c>
      <c r="AX37" s="17">
        <v>1</v>
      </c>
    </row>
    <row r="38" spans="6:50" x14ac:dyDescent="0.35">
      <c r="Q38"/>
      <c r="R38"/>
      <c r="AJ38"/>
      <c r="AK38"/>
      <c r="AU38" t="s">
        <v>37</v>
      </c>
      <c r="AV38" t="s">
        <v>74</v>
      </c>
      <c r="AW38" s="1">
        <v>1.3888888888888888E-2</v>
      </c>
      <c r="AX38" s="17">
        <v>1</v>
      </c>
    </row>
    <row r="39" spans="6:50" x14ac:dyDescent="0.35">
      <c r="F39" s="9" t="s">
        <v>5</v>
      </c>
      <c r="G39" s="9" t="s">
        <v>17</v>
      </c>
      <c r="Q39"/>
      <c r="R39"/>
      <c r="AJ39"/>
      <c r="AK39"/>
      <c r="AU39"/>
      <c r="AV39" t="s">
        <v>61</v>
      </c>
      <c r="AW39" s="1">
        <v>6.9444444444444441E-3</v>
      </c>
      <c r="AX39" s="17">
        <v>1</v>
      </c>
    </row>
    <row r="40" spans="6:50" x14ac:dyDescent="0.35">
      <c r="F40" t="s">
        <v>32</v>
      </c>
      <c r="G40" t="s">
        <v>34</v>
      </c>
      <c r="Q40"/>
      <c r="R40"/>
      <c r="AU40"/>
      <c r="AV40" t="s">
        <v>62</v>
      </c>
      <c r="AW40" s="1">
        <v>1.0416666666666666E-2</v>
      </c>
      <c r="AX40" s="17">
        <v>1</v>
      </c>
    </row>
    <row r="41" spans="6:50" x14ac:dyDescent="0.35">
      <c r="F41" t="s">
        <v>31</v>
      </c>
      <c r="G41" t="s">
        <v>34</v>
      </c>
      <c r="N41"/>
      <c r="O41"/>
      <c r="Q41"/>
      <c r="R41"/>
      <c r="AU41" t="s">
        <v>32</v>
      </c>
      <c r="AV41" t="s">
        <v>78</v>
      </c>
      <c r="AW41" s="1">
        <v>1.3888888888888888E-2</v>
      </c>
      <c r="AX41" s="17">
        <v>1</v>
      </c>
    </row>
    <row r="42" spans="6:50" x14ac:dyDescent="0.35">
      <c r="F42" t="s">
        <v>29</v>
      </c>
      <c r="G42" t="s">
        <v>34</v>
      </c>
      <c r="N42"/>
      <c r="O42"/>
      <c r="Q42"/>
      <c r="R42"/>
      <c r="AU42" t="s">
        <v>35</v>
      </c>
      <c r="AV42" t="s">
        <v>76</v>
      </c>
      <c r="AW42" s="1">
        <v>1.1805555555555555E-2</v>
      </c>
      <c r="AX42" s="17">
        <v>1</v>
      </c>
    </row>
    <row r="43" spans="6:50" x14ac:dyDescent="0.35">
      <c r="F43" t="s">
        <v>35</v>
      </c>
      <c r="G43" t="s">
        <v>40</v>
      </c>
      <c r="N43"/>
      <c r="O43"/>
      <c r="Q43"/>
      <c r="R43"/>
      <c r="AU43" t="s">
        <v>30</v>
      </c>
      <c r="AV43" t="s">
        <v>76</v>
      </c>
      <c r="AW43" s="1">
        <v>1.0416666666666666E-2</v>
      </c>
      <c r="AX43" s="17">
        <v>1</v>
      </c>
    </row>
    <row r="44" spans="6:50" x14ac:dyDescent="0.35">
      <c r="F44" t="s">
        <v>38</v>
      </c>
      <c r="G44" t="s">
        <v>40</v>
      </c>
      <c r="AJ44" s="11"/>
      <c r="AU44"/>
      <c r="AV44" t="s">
        <v>67</v>
      </c>
      <c r="AW44" s="1">
        <v>1.3888888888888888E-2</v>
      </c>
      <c r="AX44" s="17">
        <v>1</v>
      </c>
    </row>
    <row r="45" spans="6:50" x14ac:dyDescent="0.35">
      <c r="F45" t="s">
        <v>28</v>
      </c>
      <c r="G45" t="s">
        <v>34</v>
      </c>
      <c r="AU45"/>
      <c r="AV45" t="s">
        <v>60</v>
      </c>
      <c r="AW45" s="1">
        <v>1.5277777777777777E-2</v>
      </c>
      <c r="AX45" s="17">
        <v>1</v>
      </c>
    </row>
    <row r="46" spans="6:50" x14ac:dyDescent="0.35">
      <c r="F46" t="s">
        <v>36</v>
      </c>
      <c r="G46" t="s">
        <v>40</v>
      </c>
      <c r="O46" s="8"/>
      <c r="P46" s="8"/>
      <c r="AT46" t="s">
        <v>24</v>
      </c>
      <c r="AU46" t="s">
        <v>38</v>
      </c>
      <c r="AV46" t="s">
        <v>49</v>
      </c>
      <c r="AW46" s="1">
        <v>2.0833333333333332E-2</v>
      </c>
      <c r="AX46" s="17">
        <v>1</v>
      </c>
    </row>
    <row r="47" spans="6:50" x14ac:dyDescent="0.35">
      <c r="F47" t="s">
        <v>33</v>
      </c>
      <c r="G47" t="s">
        <v>34</v>
      </c>
      <c r="O47" s="8"/>
      <c r="P47" s="8"/>
      <c r="AU47" t="s">
        <v>31</v>
      </c>
      <c r="AV47" t="s">
        <v>46</v>
      </c>
      <c r="AW47" s="1">
        <v>1.3888888888888888E-2</v>
      </c>
      <c r="AX47" s="17">
        <v>1</v>
      </c>
    </row>
    <row r="48" spans="6:50" x14ac:dyDescent="0.35">
      <c r="F48" t="s">
        <v>39</v>
      </c>
      <c r="G48" t="s">
        <v>40</v>
      </c>
      <c r="O48" s="8"/>
      <c r="P48" s="8"/>
      <c r="AU48" t="s">
        <v>39</v>
      </c>
      <c r="AV48" t="s">
        <v>46</v>
      </c>
      <c r="AW48" s="1">
        <v>2.0833333333333332E-2</v>
      </c>
      <c r="AX48" s="17">
        <v>1</v>
      </c>
    </row>
    <row r="49" spans="6:50" x14ac:dyDescent="0.35">
      <c r="F49" t="s">
        <v>37</v>
      </c>
      <c r="G49" t="s">
        <v>40</v>
      </c>
      <c r="O49" s="8"/>
      <c r="P49" s="8"/>
      <c r="AU49"/>
      <c r="AV49" t="s">
        <v>79</v>
      </c>
      <c r="AW49" s="1">
        <v>1.3888888888888888E-2</v>
      </c>
      <c r="AX49" s="17">
        <v>1</v>
      </c>
    </row>
    <row r="50" spans="6:50" x14ac:dyDescent="0.35">
      <c r="F50" t="s">
        <v>30</v>
      </c>
      <c r="G50" t="s">
        <v>34</v>
      </c>
      <c r="O50" s="8"/>
      <c r="P50" s="8"/>
      <c r="AU50" t="s">
        <v>37</v>
      </c>
      <c r="AV50" t="s">
        <v>49</v>
      </c>
      <c r="AW50" s="1">
        <v>1.0416666666666666E-2</v>
      </c>
      <c r="AX50" s="17">
        <v>1</v>
      </c>
    </row>
    <row r="51" spans="6:50" x14ac:dyDescent="0.35">
      <c r="F51" t="s">
        <v>42</v>
      </c>
      <c r="G51" t="s">
        <v>40</v>
      </c>
      <c r="O51" s="8"/>
      <c r="P51" s="8"/>
      <c r="AT51" t="s">
        <v>12</v>
      </c>
      <c r="AU51" t="s">
        <v>38</v>
      </c>
      <c r="AV51" t="s">
        <v>48</v>
      </c>
      <c r="AW51" s="1">
        <v>1.7361111111111112E-2</v>
      </c>
      <c r="AX51" s="17">
        <v>1</v>
      </c>
    </row>
    <row r="52" spans="6:50" x14ac:dyDescent="0.35">
      <c r="AU52" t="s">
        <v>33</v>
      </c>
      <c r="AV52" t="s">
        <v>63</v>
      </c>
      <c r="AW52" s="1">
        <v>3.472222222222222E-3</v>
      </c>
      <c r="AX52" s="17">
        <v>1</v>
      </c>
    </row>
    <row r="53" spans="6:50" x14ac:dyDescent="0.35">
      <c r="AU53"/>
      <c r="AV53" t="s">
        <v>48</v>
      </c>
      <c r="AW53" s="1">
        <v>1.0416666666666666E-2</v>
      </c>
      <c r="AX53" s="17">
        <v>1</v>
      </c>
    </row>
    <row r="54" spans="6:50" x14ac:dyDescent="0.35">
      <c r="AU54" t="s">
        <v>29</v>
      </c>
      <c r="AV54" t="s">
        <v>64</v>
      </c>
      <c r="AW54" s="1">
        <v>1.6666666666666666E-2</v>
      </c>
      <c r="AX54" s="17">
        <v>1</v>
      </c>
    </row>
    <row r="55" spans="6:50" x14ac:dyDescent="0.35">
      <c r="AU55" t="s">
        <v>31</v>
      </c>
      <c r="AV55" t="s">
        <v>45</v>
      </c>
      <c r="AW55" s="1">
        <v>1.3888888888888888E-2</v>
      </c>
      <c r="AX55" s="17">
        <v>1</v>
      </c>
    </row>
    <row r="56" spans="6:50" x14ac:dyDescent="0.35">
      <c r="AU56" t="s">
        <v>32</v>
      </c>
      <c r="AV56" t="s">
        <v>45</v>
      </c>
      <c r="AW56" s="1">
        <v>1.3888888888888888E-2</v>
      </c>
      <c r="AX56" s="17">
        <v>1</v>
      </c>
    </row>
    <row r="57" spans="6:50" x14ac:dyDescent="0.35">
      <c r="AU57"/>
      <c r="AV57" t="s">
        <v>51</v>
      </c>
      <c r="AW57" s="1">
        <v>3.4722222222222224E-2</v>
      </c>
      <c r="AX57" s="17">
        <v>1</v>
      </c>
    </row>
    <row r="58" spans="6:50" x14ac:dyDescent="0.35">
      <c r="AU58"/>
      <c r="AV58" t="s">
        <v>63</v>
      </c>
      <c r="AW58" s="1">
        <v>6.9444444444444441E-3</v>
      </c>
      <c r="AX58" s="17">
        <v>1</v>
      </c>
    </row>
    <row r="59" spans="6:50" x14ac:dyDescent="0.35">
      <c r="AT59" t="s">
        <v>23</v>
      </c>
      <c r="AU59" t="s">
        <v>39</v>
      </c>
      <c r="AV59" t="s">
        <v>50</v>
      </c>
      <c r="AW59" s="1">
        <v>1.0416666666666666E-2</v>
      </c>
      <c r="AX59" s="17">
        <v>1</v>
      </c>
    </row>
    <row r="60" spans="6:50" x14ac:dyDescent="0.35">
      <c r="AU60" t="s">
        <v>32</v>
      </c>
      <c r="AV60" t="s">
        <v>50</v>
      </c>
      <c r="AW60" s="1">
        <v>4.1666666666666664E-2</v>
      </c>
      <c r="AX60" s="17">
        <v>1</v>
      </c>
    </row>
    <row r="61" spans="6:50" x14ac:dyDescent="0.35">
      <c r="AT61" t="s">
        <v>65</v>
      </c>
      <c r="AU61" t="s">
        <v>38</v>
      </c>
      <c r="AV61" t="s">
        <v>81</v>
      </c>
      <c r="AW61" s="1">
        <v>1.3888888888888888E-2</v>
      </c>
      <c r="AX61" s="17">
        <v>1</v>
      </c>
    </row>
    <row r="62" spans="6:50" x14ac:dyDescent="0.35">
      <c r="AU62" t="s">
        <v>33</v>
      </c>
      <c r="AV62" t="s">
        <v>81</v>
      </c>
      <c r="AW62" s="1">
        <v>1.0416666666666666E-2</v>
      </c>
      <c r="AX62" s="17">
        <v>1</v>
      </c>
    </row>
    <row r="63" spans="6:50" x14ac:dyDescent="0.35">
      <c r="AU63"/>
      <c r="AV63" t="s">
        <v>82</v>
      </c>
      <c r="AW63" s="1">
        <v>3.4722222222222224E-2</v>
      </c>
      <c r="AX63" s="17">
        <v>1</v>
      </c>
    </row>
    <row r="64" spans="6:50" x14ac:dyDescent="0.35">
      <c r="AU64"/>
      <c r="AV64" t="s">
        <v>71</v>
      </c>
      <c r="AW64" s="1">
        <v>2.0833333333333332E-2</v>
      </c>
      <c r="AX64" s="17">
        <v>1</v>
      </c>
    </row>
    <row r="65" spans="46:50" x14ac:dyDescent="0.35">
      <c r="AU65"/>
      <c r="AV65" t="s">
        <v>72</v>
      </c>
      <c r="AW65" s="1">
        <v>2.7777777777777776E-2</v>
      </c>
      <c r="AX65" s="17">
        <v>1</v>
      </c>
    </row>
    <row r="66" spans="46:50" x14ac:dyDescent="0.35">
      <c r="AU66" t="s">
        <v>28</v>
      </c>
      <c r="AV66" t="s">
        <v>82</v>
      </c>
      <c r="AW66" s="1">
        <v>9.0277777777777769E-3</v>
      </c>
      <c r="AX66" s="17">
        <v>1</v>
      </c>
    </row>
    <row r="67" spans="46:50" x14ac:dyDescent="0.35">
      <c r="AU67" t="s">
        <v>29</v>
      </c>
      <c r="AV67" t="s">
        <v>80</v>
      </c>
      <c r="AW67" s="1">
        <v>1.0416666666666666E-2</v>
      </c>
      <c r="AX67" s="17">
        <v>1</v>
      </c>
    </row>
    <row r="68" spans="46:50" x14ac:dyDescent="0.35">
      <c r="AU68" t="s">
        <v>31</v>
      </c>
      <c r="AV68" t="s">
        <v>80</v>
      </c>
      <c r="AW68" s="1">
        <v>2.0833333333333332E-2</v>
      </c>
      <c r="AX68" s="17">
        <v>1</v>
      </c>
    </row>
    <row r="69" spans="46:50" x14ac:dyDescent="0.35">
      <c r="AU69" t="s">
        <v>39</v>
      </c>
      <c r="AV69" t="s">
        <v>72</v>
      </c>
      <c r="AW69" s="1">
        <v>1.2500000000000001E-2</v>
      </c>
      <c r="AX69" s="17">
        <v>1</v>
      </c>
    </row>
    <row r="70" spans="46:50" x14ac:dyDescent="0.35">
      <c r="AU70" t="s">
        <v>37</v>
      </c>
      <c r="AV70" t="s">
        <v>73</v>
      </c>
      <c r="AW70" s="1">
        <v>4.8611111111111112E-3</v>
      </c>
      <c r="AX70" s="17">
        <v>1</v>
      </c>
    </row>
    <row r="71" spans="46:50" x14ac:dyDescent="0.35">
      <c r="AU71" t="s">
        <v>36</v>
      </c>
      <c r="AV71" t="s">
        <v>83</v>
      </c>
      <c r="AW71" s="1">
        <v>1.3888888888888888E-2</v>
      </c>
      <c r="AX71" s="17">
        <v>1</v>
      </c>
    </row>
    <row r="72" spans="46:50" x14ac:dyDescent="0.35">
      <c r="AT72" t="s">
        <v>0</v>
      </c>
      <c r="AU72"/>
      <c r="AW72" s="1">
        <v>0.96388888888888868</v>
      </c>
      <c r="AX72" s="17">
        <v>61</v>
      </c>
    </row>
  </sheetData>
  <conditionalFormatting sqref="G22:G32">
    <cfRule type="cellIs" priority="1" operator="greaterThan">
      <formula>0</formula>
    </cfRule>
  </conditionalFormatting>
  <pageMargins left="0.7" right="0.7" top="0.75" bottom="0.75" header="0.3" footer="0.3"/>
  <pageSetup orientation="portrait" r:id="rId2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Props1.xml><?xml version="1.0" encoding="utf-8"?>
<ds:datastoreItem xmlns:ds="http://schemas.openxmlformats.org/officeDocument/2006/customXml" ds:itemID="{D7CC3FCF-0FAA-4AA3-A1A1-F7734A23E4E2}">
  <ds:schemaRefs/>
</ds:datastoreItem>
</file>

<file path=customXml/itemProps2.xml><?xml version="1.0" encoding="utf-8"?>
<ds:datastoreItem xmlns:ds="http://schemas.openxmlformats.org/officeDocument/2006/customXml" ds:itemID="{B89242F8-807E-406D-A4DD-F3094B63DDDC}">
  <ds:schemaRefs/>
</ds:datastoreItem>
</file>

<file path=customXml/itemProps3.xml><?xml version="1.0" encoding="utf-8"?>
<ds:datastoreItem xmlns:ds="http://schemas.openxmlformats.org/officeDocument/2006/customXml" ds:itemID="{3833FCFF-08B3-4462-92B3-B20977106D64}">
  <ds:schemaRefs/>
</ds:datastoreItem>
</file>

<file path=customXml/itemProps4.xml><?xml version="1.0" encoding="utf-8"?>
<ds:datastoreItem xmlns:ds="http://schemas.openxmlformats.org/officeDocument/2006/customXml" ds:itemID="{A5DAEC66-1499-4924-A5BF-9DBE5B0BD601}">
  <ds:schemaRefs/>
</ds:datastoreItem>
</file>

<file path=customXml/itemProps5.xml><?xml version="1.0" encoding="utf-8"?>
<ds:datastoreItem xmlns:ds="http://schemas.openxmlformats.org/officeDocument/2006/customXml" ds:itemID="{F668D7A8-4A75-4DA4-8C81-5922D1D581B6}">
  <ds:schemaRefs/>
</ds:datastoreItem>
</file>

<file path=customXml/itemProps6.xml><?xml version="1.0" encoding="utf-8"?>
<ds:datastoreItem xmlns:ds="http://schemas.openxmlformats.org/officeDocument/2006/customXml" ds:itemID="{5F6C2DF3-6799-461F-B062-3E83437563BF}">
  <ds:schemaRefs>
    <ds:schemaRef ds:uri="http://schemas.microsoft.com/DataMashup"/>
  </ds:schemaRefs>
</ds:datastoreItem>
</file>

<file path=customXml/itemProps7.xml><?xml version="1.0" encoding="utf-8"?>
<ds:datastoreItem xmlns:ds="http://schemas.openxmlformats.org/officeDocument/2006/customXml" ds:itemID="{217413AB-B832-47DA-A896-55CF749C526D}">
  <ds:schemaRefs/>
</ds:datastoreItem>
</file>

<file path=customXml/itemProps8.xml><?xml version="1.0" encoding="utf-8"?>
<ds:datastoreItem xmlns:ds="http://schemas.openxmlformats.org/officeDocument/2006/customXml" ds:itemID="{789AAFB5-8603-4DBB-99CE-FABD60F46E06}">
  <ds:schemaRefs/>
</ds:datastoreItem>
</file>

<file path=customXml/itemProps9.xml><?xml version="1.0" encoding="utf-8"?>
<ds:datastoreItem xmlns:ds="http://schemas.openxmlformats.org/officeDocument/2006/customXml" ds:itemID="{6749A59C-8C3F-45F7-BBE0-63B22136BAAE}">
  <ds:schemaRefs/>
</ds:datastoreItem>
</file>

<file path=customXml/itemProps10.xml><?xml version="1.0" encoding="utf-8"?>
<ds:datastoreItem xmlns:ds="http://schemas.openxmlformats.org/officeDocument/2006/customXml" ds:itemID="{09300DC4-CE64-407F-B18B-659DA4ADAF79}">
  <ds:schemaRefs/>
</ds:datastoreItem>
</file>

<file path=customXml/itemProps11.xml><?xml version="1.0" encoding="utf-8"?>
<ds:datastoreItem xmlns:ds="http://schemas.openxmlformats.org/officeDocument/2006/customXml" ds:itemID="{EF954388-3AB2-4E0E-AE7C-C39CAD06F2F8}">
  <ds:schemaRefs/>
</ds:datastoreItem>
</file>

<file path=customXml/itemProps12.xml><?xml version="1.0" encoding="utf-8"?>
<ds:datastoreItem xmlns:ds="http://schemas.openxmlformats.org/officeDocument/2006/customXml" ds:itemID="{EFAFE24A-26FD-4321-B53C-11E33E3E4B9B}">
  <ds:schemaRefs/>
</ds:datastoreItem>
</file>

<file path=customXml/itemProps13.xml><?xml version="1.0" encoding="utf-8"?>
<ds:datastoreItem xmlns:ds="http://schemas.openxmlformats.org/officeDocument/2006/customXml" ds:itemID="{28E4DDF7-C6EB-46B1-AF68-635A51E057B0}">
  <ds:schemaRefs/>
</ds:datastoreItem>
</file>

<file path=customXml/itemProps14.xml><?xml version="1.0" encoding="utf-8"?>
<ds:datastoreItem xmlns:ds="http://schemas.openxmlformats.org/officeDocument/2006/customXml" ds:itemID="{459FDEFB-B552-4AA3-8824-782AF2E8B2A4}">
  <ds:schemaRefs/>
</ds:datastoreItem>
</file>

<file path=customXml/itemProps15.xml><?xml version="1.0" encoding="utf-8"?>
<ds:datastoreItem xmlns:ds="http://schemas.openxmlformats.org/officeDocument/2006/customXml" ds:itemID="{D852D58D-E2A4-458A-9EAE-46D68605F962}">
  <ds:schemaRefs/>
</ds:datastoreItem>
</file>

<file path=customXml/itemProps16.xml><?xml version="1.0" encoding="utf-8"?>
<ds:datastoreItem xmlns:ds="http://schemas.openxmlformats.org/officeDocument/2006/customXml" ds:itemID="{33E85740-B311-420F-A194-463007BCBA3F}">
  <ds:schemaRefs/>
</ds:datastoreItem>
</file>

<file path=customXml/itemProps17.xml><?xml version="1.0" encoding="utf-8"?>
<ds:datastoreItem xmlns:ds="http://schemas.openxmlformats.org/officeDocument/2006/customXml" ds:itemID="{3ED51BC0-6040-41F2-9748-E4FBC7E24C1F}">
  <ds:schemaRefs/>
</ds:datastoreItem>
</file>

<file path=customXml/itemProps18.xml><?xml version="1.0" encoding="utf-8"?>
<ds:datastoreItem xmlns:ds="http://schemas.openxmlformats.org/officeDocument/2006/customXml" ds:itemID="{26DF2955-06D1-417A-B122-978530633ACB}">
  <ds:schemaRefs/>
</ds:datastoreItem>
</file>

<file path=customXml/itemProps19.xml><?xml version="1.0" encoding="utf-8"?>
<ds:datastoreItem xmlns:ds="http://schemas.openxmlformats.org/officeDocument/2006/customXml" ds:itemID="{5F550E79-FC37-4DC4-822B-3319FCA0D491}">
  <ds:schemaRefs/>
</ds:datastoreItem>
</file>

<file path=customXml/itemProps20.xml><?xml version="1.0" encoding="utf-8"?>
<ds:datastoreItem xmlns:ds="http://schemas.openxmlformats.org/officeDocument/2006/customXml" ds:itemID="{8CF8D47C-BADA-43F3-8D28-3BF9331743BE}">
  <ds:schemaRefs/>
</ds:datastoreItem>
</file>

<file path=customXml/itemProps21.xml><?xml version="1.0" encoding="utf-8"?>
<ds:datastoreItem xmlns:ds="http://schemas.openxmlformats.org/officeDocument/2006/customXml" ds:itemID="{AA901808-3D81-4800-97D3-F08B5B2EEBD0}">
  <ds:schemaRefs/>
</ds:datastoreItem>
</file>

<file path=customXml/itemProps22.xml><?xml version="1.0" encoding="utf-8"?>
<ds:datastoreItem xmlns:ds="http://schemas.openxmlformats.org/officeDocument/2006/customXml" ds:itemID="{102CE61F-C8AC-4921-8B16-1AA973D55E88}">
  <ds:schemaRefs/>
</ds:datastoreItem>
</file>

<file path=customXml/itemProps23.xml><?xml version="1.0" encoding="utf-8"?>
<ds:datastoreItem xmlns:ds="http://schemas.openxmlformats.org/officeDocument/2006/customXml" ds:itemID="{D5E4FA31-5133-4276-A5D9-329C5D555AD9}">
  <ds:schemaRefs/>
</ds:datastoreItem>
</file>

<file path=customXml/itemProps24.xml><?xml version="1.0" encoding="utf-8"?>
<ds:datastoreItem xmlns:ds="http://schemas.openxmlformats.org/officeDocument/2006/customXml" ds:itemID="{6D495B14-9319-49BA-80B9-7C7010C1025A}">
  <ds:schemaRefs/>
</ds:datastoreItem>
</file>

<file path=customXml/itemProps25.xml><?xml version="1.0" encoding="utf-8"?>
<ds:datastoreItem xmlns:ds="http://schemas.openxmlformats.org/officeDocument/2006/customXml" ds:itemID="{89769BCF-937A-42BB-A147-B055FEA1BB5A}">
  <ds:schemaRefs/>
</ds:datastoreItem>
</file>

<file path=customXml/itemProps26.xml><?xml version="1.0" encoding="utf-8"?>
<ds:datastoreItem xmlns:ds="http://schemas.openxmlformats.org/officeDocument/2006/customXml" ds:itemID="{B1D480D5-6405-4C7C-AD3C-2F718903BF00}">
  <ds:schemaRefs/>
</ds:datastoreItem>
</file>

<file path=customXml/itemProps27.xml><?xml version="1.0" encoding="utf-8"?>
<ds:datastoreItem xmlns:ds="http://schemas.openxmlformats.org/officeDocument/2006/customXml" ds:itemID="{FB5D3ACA-4E7D-4E1A-8551-10422A1583DA}">
  <ds:schemaRefs/>
</ds:datastoreItem>
</file>

<file path=customXml/itemProps28.xml><?xml version="1.0" encoding="utf-8"?>
<ds:datastoreItem xmlns:ds="http://schemas.openxmlformats.org/officeDocument/2006/customXml" ds:itemID="{DBC08459-B0AB-4A0C-A1CC-8EABDEBCA696}">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Analysis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khalied</dc:creator>
  <cp:lastModifiedBy>Khalied Noynay</cp:lastModifiedBy>
  <dcterms:created xsi:type="dcterms:W3CDTF">2025-04-04T14:01:00Z</dcterms:created>
  <dcterms:modified xsi:type="dcterms:W3CDTF">2025-12-03T23:58:32Z</dcterms:modified>
</cp:coreProperties>
</file>