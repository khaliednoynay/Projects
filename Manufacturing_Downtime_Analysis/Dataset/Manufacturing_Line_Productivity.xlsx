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khalied\Desktop\Maven Playground\"/>
    </mc:Choice>
  </mc:AlternateContent>
  <xr:revisionPtr revIDLastSave="0" documentId="13_ncr:1_{F6EBA47B-CB1D-4B31-A91C-3435F2151BA5}" xr6:coauthVersionLast="47" xr6:coauthVersionMax="47" xr10:uidLastSave="{00000000-0000-0000-0000-000000000000}"/>
  <bookViews>
    <workbookView xWindow="-98" yWindow="-98" windowWidth="38596" windowHeight="21075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<sst xmlns="http://schemas.openxmlformats.org/spreadsheetml/2006/main" count="134" uniqueCount="45">
  <si>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</si>
  <si>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</si>
  <si>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</si>
  <si>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</si>
  <si>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</si>
  <si>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</si>
  <si>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</si>
  <si>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</si>
  <si>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</si>
  <si>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</si>
  <si>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</si>
  <si>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</si>
  <si>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</si>
  <si>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</si>
  <si>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</si>
  <si>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</si>
  <si>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</si>
  <si>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</si>
  <si>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</si>
  <si>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</si>
  <si>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</si>
  <si>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</si>
  <si>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</si>
  <si>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</si>
  <si>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</si>
  <si>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</si>
  <si>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</si>
  <si>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</si>
  <si>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</si>
  <si>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</si>
  <si>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</si>
  <si>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</si>
  <si>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</si>
  <si>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</si>
  <si>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</si>
  <si>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</si>
  <si>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</si>
  <si>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</si>
  <si>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</si>
  <si>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</si>
  <si>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</si>
  <si>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</si>
  <si>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</si>
  <si>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</si>
  <si>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Min Batch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</si>
</sst>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;@"/>
    <numFmt numFmtId="165" formatCode="hh:mm:ss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1" fontId="3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165" formatCode="hh:mm:ss"/>
    </dxf>
    <dxf>
      <numFmt numFmtId="165" formatCode="hh:mm:ss"/>
    </dxf>
    <dxf>
      <numFmt numFmtId="164" formatCode="yyyy\-mm\-dd;@"/>
    </dxf>
  </dxfs>
  <tableStyles count="1" defaultTableStyle="TableStyleMedium2" defaultPivotStyle="PivotStyleLight16">
    <tableStyle name="Invisible" pivot="0" table="0" count="0" xr9:uid="{2496824C-CF77-4CC3-A963-7EBFF885B7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0846F-D05B-4179-935A-5EF962C14F1D}" name="Table1" displayName="Table1" ref="A1:G39" totalsRowShown="0" headerRowDxfId="1">
  <autoFilter ref="A1:G39" xr:uid="{A080846F-D05B-4179-935A-5EF962C14F1D}"/>
  <tableColumns count="7">
    <tableColumn id="1" xr3:uid="{73938C17-01C0-4F38-BFE6-02504384F13E}" name="Date" dataDxfId="4"/>
    <tableColumn id="2" xr3:uid="{9B7464E3-3A09-4D8A-A1C8-7BC4A99566AE}" name="Product"/>
    <tableColumn id="3" xr3:uid="{030FAB8F-3A6E-4BEC-A369-D96AEFD4C2F7}" name="Batch"/>
    <tableColumn id="4" xr3:uid="{868DDAF8-6359-4DE3-B969-F7C1009C4087}" name="Operator"/>
    <tableColumn id="5" xr3:uid="{C2C77BF1-65DC-48DE-A1D1-3DBDADE81B83}" name="Start Time" dataDxfId="3"/>
    <tableColumn id="6" xr3:uid="{11EB9753-2915-4DC9-9F9E-458E91A31619}" name="End Time" dataDxfId="2"/>
    <tableColumn id="7" xr3:uid="{DC48CFD6-0EBB-4F4C-B0B9-AD2CE4F50E79}" name="Min Batch Time" dataDxfId="0">
      <calculatedColumnFormula>INDEX(Products!D:D, MATCH(Table1[[#This Row],[Product]],Products!A:A,0))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G39"/>
  <sheetViews>
    <sheetView tabSelected="1" workbookViewId="0">
      <selection activeCell="K31" sqref="K31"/>
    </sheetView>
  </sheetViews>
  <sheetFormatPr defaultRowHeight="13.5"/>
  <cols>
    <col min="1" max="1" width="10.4375" bestFit="1" customWidth="1"/>
    <col min="2" max="2" width="9.5625" bestFit="1" customWidth="1"/>
    <col min="3" max="3" width="8.875" customWidth="1"/>
    <col min="4" max="4" width="10.0625" customWidth="1"/>
    <col min="5" max="5" width="11.3125" customWidth="1"/>
    <col min="6" max="6" width="10.625" customWidth="1"/>
    <col min="7" max="7" width="16.25" style="7" bestFit="1" customWidth="1"/>
    <col min="8" max="11" width="8.875" customWidth="1"/>
    <col min="13" max="13" width="8.875" customWidth="1"/>
  </cols>
  <sheetData>
    <row r="1" spans="1:7" ht="13.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44</v>
      </c>
    </row>
    <row r="2" spans="1:7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7">
        <f>INDEX(Products!D:D, MATCH(Table1[[#This Row],[Product]],Products!A:A,0))</f>
        <v>60</v>
      </c>
    </row>
    <row r="3" spans="1:7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7">
        <f>INDEX(Products!D:D, MATCH(Table1[[#This Row],[Product]],Products!A:A,0))</f>
        <v>60</v>
      </c>
    </row>
    <row r="4" spans="1:7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7">
        <f>INDEX(Products!D:D, MATCH(Table1[[#This Row],[Product]],Products!A:A,0))</f>
        <v>60</v>
      </c>
    </row>
    <row r="5" spans="1:7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7">
        <f>INDEX(Products!D:D, MATCH(Table1[[#This Row],[Product]],Products!A:A,0))</f>
        <v>60</v>
      </c>
    </row>
    <row r="6" spans="1:7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7">
        <f>INDEX(Products!D:D, MATCH(Table1[[#This Row],[Product]],Products!A:A,0))</f>
        <v>60</v>
      </c>
    </row>
    <row r="7" spans="1:7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7">
        <f>INDEX(Products!D:D, MATCH(Table1[[#This Row],[Product]],Products!A:A,0))</f>
        <v>60</v>
      </c>
    </row>
    <row r="8" spans="1:7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7">
        <f>INDEX(Products!D:D, MATCH(Table1[[#This Row],[Product]],Products!A:A,0))</f>
        <v>60</v>
      </c>
    </row>
    <row r="9" spans="1:7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7">
        <f>INDEX(Products!D:D, MATCH(Table1[[#This Row],[Product]],Products!A:A,0))</f>
        <v>60</v>
      </c>
    </row>
    <row r="10" spans="1:7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7">
        <f>INDEX(Products!D:D, MATCH(Table1[[#This Row],[Product]],Products!A:A,0))</f>
        <v>60</v>
      </c>
    </row>
    <row r="11" spans="1:7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7">
        <f>INDEX(Products!D:D, MATCH(Table1[[#This Row],[Product]],Products!A:A,0))</f>
        <v>60</v>
      </c>
    </row>
    <row r="12" spans="1:7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7">
        <f>INDEX(Products!D:D, MATCH(Table1[[#This Row],[Product]],Products!A:A,0))</f>
        <v>60</v>
      </c>
    </row>
    <row r="13" spans="1:7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7">
        <f>INDEX(Products!D:D, MATCH(Table1[[#This Row],[Product]],Products!A:A,0))</f>
        <v>60</v>
      </c>
    </row>
    <row r="14" spans="1:7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7">
        <f>INDEX(Products!D:D, MATCH(Table1[[#This Row],[Product]],Products!A:A,0))</f>
        <v>60</v>
      </c>
    </row>
    <row r="15" spans="1:7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7">
        <f>INDEX(Products!D:D, MATCH(Table1[[#This Row],[Product]],Products!A:A,0))</f>
        <v>60</v>
      </c>
    </row>
    <row r="16" spans="1:7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7">
        <f>INDEX(Products!D:D, MATCH(Table1[[#This Row],[Product]],Products!A:A,0))</f>
        <v>60</v>
      </c>
    </row>
    <row r="17" spans="1:7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7">
        <f>INDEX(Products!D:D, MATCH(Table1[[#This Row],[Product]],Products!A:A,0))</f>
        <v>60</v>
      </c>
    </row>
    <row r="18" spans="1:7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7">
        <f>INDEX(Products!D:D, MATCH(Table1[[#This Row],[Product]],Products!A:A,0))</f>
        <v>60</v>
      </c>
    </row>
    <row r="19" spans="1:7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7">
        <f>INDEX(Products!D:D, MATCH(Table1[[#This Row],[Product]],Products!A:A,0))</f>
        <v>60</v>
      </c>
    </row>
    <row r="20" spans="1:7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7">
        <f>INDEX(Products!D:D, MATCH(Table1[[#This Row],[Product]],Products!A:A,0))</f>
        <v>60</v>
      </c>
    </row>
    <row r="21" spans="1:7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7">
        <f>INDEX(Products!D:D, MATCH(Table1[[#This Row],[Product]],Products!A:A,0))</f>
        <v>60</v>
      </c>
    </row>
    <row r="22" spans="1:7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7">
        <f>INDEX(Products!D:D, MATCH(Table1[[#This Row],[Product]],Products!A:A,0))</f>
        <v>60</v>
      </c>
    </row>
    <row r="23" spans="1:7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7">
        <f>INDEX(Products!D:D, MATCH(Table1[[#This Row],[Product]],Products!A:A,0))</f>
        <v>60</v>
      </c>
    </row>
    <row r="24" spans="1:7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7">
        <f>INDEX(Products!D:D, MATCH(Table1[[#This Row],[Product]],Products!A:A,0))</f>
        <v>60</v>
      </c>
    </row>
    <row r="25" spans="1:7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7">
        <f>INDEX(Products!D:D, MATCH(Table1[[#This Row],[Product]],Products!A:A,0))</f>
        <v>60</v>
      </c>
    </row>
    <row r="26" spans="1:7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7">
        <f>INDEX(Products!D:D, MATCH(Table1[[#This Row],[Product]],Products!A:A,0))</f>
        <v>60</v>
      </c>
    </row>
    <row r="27" spans="1:7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7">
        <f>INDEX(Products!D:D, MATCH(Table1[[#This Row],[Product]],Products!A:A,0))</f>
        <v>60</v>
      </c>
    </row>
    <row r="28" spans="1:7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7">
        <f>INDEX(Products!D:D, MATCH(Table1[[#This Row],[Product]],Products!A:A,0))</f>
        <v>60</v>
      </c>
    </row>
    <row r="29" spans="1:7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7">
        <f>INDEX(Products!D:D, MATCH(Table1[[#This Row],[Product]],Products!A:A,0))</f>
        <v>60</v>
      </c>
    </row>
    <row r="30" spans="1:7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7">
        <f>INDEX(Products!D:D, MATCH(Table1[[#This Row],[Product]],Products!A:A,0))</f>
        <v>60</v>
      </c>
    </row>
    <row r="31" spans="1:7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7">
        <f>INDEX(Products!D:D, MATCH(Table1[[#This Row],[Product]],Products!A:A,0))</f>
        <v>60</v>
      </c>
    </row>
    <row r="32" spans="1:7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7">
        <f>INDEX(Products!D:D, MATCH(Table1[[#This Row],[Product]],Products!A:A,0))</f>
        <v>60</v>
      </c>
    </row>
    <row r="33" spans="1:7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7">
        <f>INDEX(Products!D:D, MATCH(Table1[[#This Row],[Product]],Products!A:A,0))</f>
        <v>60</v>
      </c>
    </row>
    <row r="34" spans="1:7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7">
        <f>INDEX(Products!D:D, MATCH(Table1[[#This Row],[Product]],Products!A:A,0))</f>
        <v>60</v>
      </c>
    </row>
    <row r="35" spans="1:7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7">
        <f>INDEX(Products!D:D, MATCH(Table1[[#This Row],[Product]],Products!A:A,0))</f>
        <v>98</v>
      </c>
    </row>
    <row r="36" spans="1:7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7">
        <f>INDEX(Products!D:D, MATCH(Table1[[#This Row],[Product]],Products!A:A,0))</f>
        <v>98</v>
      </c>
    </row>
    <row r="37" spans="1:7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7">
        <f>INDEX(Products!D:D, MATCH(Table1[[#This Row],[Product]],Products!A:A,0))</f>
        <v>98</v>
      </c>
    </row>
    <row r="38" spans="1:7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7">
        <f>INDEX(Products!D:D, MATCH(Table1[[#This Row],[Product]],Products!A:A,0))</f>
        <v>98</v>
      </c>
    </row>
    <row r="39" spans="1:7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7">
        <f>INDEX(Products!D:D, MATCH(Table1[[#This Row],[Product]],Products!A:A,0))</f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3.5"/>
  <cols>
    <col min="2" max="2" width="11.125" bestFit="1" customWidth="1"/>
    <col min="4" max="4" width="14.4375" bestFit="1" customWidth="1"/>
  </cols>
  <sheetData>
    <row r="1" spans="1:4" ht="13.9">
      <c r="A1" s="2" t="s">
        <v>1</v>
      </c>
      <c r="B1" s="2" t="s">
        <v>30</v>
      </c>
      <c r="C1" s="2" t="s">
        <v>31</v>
      </c>
      <c r="D1" s="2" t="s">
        <v>39</v>
      </c>
    </row>
    <row r="2" spans="1:4">
      <c r="A2" t="s">
        <v>24</v>
      </c>
      <c r="B2" t="s">
        <v>32</v>
      </c>
      <c r="C2" t="s">
        <v>38</v>
      </c>
      <c r="D2">
        <v>60</v>
      </c>
    </row>
    <row r="3" spans="1:4">
      <c r="A3" t="s">
        <v>25</v>
      </c>
      <c r="B3" t="s">
        <v>33</v>
      </c>
      <c r="C3" t="s">
        <v>38</v>
      </c>
      <c r="D3">
        <v>60</v>
      </c>
    </row>
    <row r="4" spans="1:4">
      <c r="A4" t="s">
        <v>26</v>
      </c>
      <c r="B4" t="s">
        <v>34</v>
      </c>
      <c r="C4" t="s">
        <v>38</v>
      </c>
      <c r="D4">
        <v>60</v>
      </c>
    </row>
    <row r="5" spans="1:4">
      <c r="A5" t="s">
        <v>27</v>
      </c>
      <c r="B5" t="s">
        <v>35</v>
      </c>
      <c r="C5" t="s">
        <v>38</v>
      </c>
      <c r="D5">
        <v>60</v>
      </c>
    </row>
    <row r="6" spans="1:4">
      <c r="A6" t="s">
        <v>28</v>
      </c>
      <c r="B6" t="s">
        <v>36</v>
      </c>
      <c r="C6" t="s">
        <v>38</v>
      </c>
      <c r="D6">
        <v>60</v>
      </c>
    </row>
    <row r="7" spans="1:4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3.5"/>
  <cols>
    <col min="1" max="1" width="8.875" customWidth="1"/>
    <col min="2" max="2" width="19.3125" bestFit="1" customWidth="1"/>
    <col min="3" max="3" width="14" bestFit="1" customWidth="1"/>
  </cols>
  <sheetData>
    <row r="1" spans="1:3" ht="13.9">
      <c r="A1" s="2" t="s">
        <v>6</v>
      </c>
      <c r="B1" s="2" t="s">
        <v>22</v>
      </c>
      <c r="C1" s="2" t="s">
        <v>7</v>
      </c>
    </row>
    <row r="2" spans="1:3">
      <c r="A2">
        <v>1</v>
      </c>
      <c r="B2" t="s">
        <v>17</v>
      </c>
      <c r="C2" t="s">
        <v>20</v>
      </c>
    </row>
    <row r="3" spans="1:3">
      <c r="A3">
        <v>2</v>
      </c>
      <c r="B3" t="s">
        <v>8</v>
      </c>
      <c r="C3" t="s">
        <v>21</v>
      </c>
    </row>
    <row r="4" spans="1:3">
      <c r="A4">
        <v>3</v>
      </c>
      <c r="B4" t="s">
        <v>19</v>
      </c>
      <c r="C4" t="s">
        <v>20</v>
      </c>
    </row>
    <row r="5" spans="1:3">
      <c r="A5">
        <v>4</v>
      </c>
      <c r="B5" t="s">
        <v>14</v>
      </c>
      <c r="C5" t="s">
        <v>20</v>
      </c>
    </row>
    <row r="6" spans="1:3">
      <c r="A6">
        <v>5</v>
      </c>
      <c r="B6" t="s">
        <v>10</v>
      </c>
      <c r="C6" t="s">
        <v>21</v>
      </c>
    </row>
    <row r="7" spans="1:3">
      <c r="A7">
        <v>6</v>
      </c>
      <c r="B7" t="s">
        <v>9</v>
      </c>
      <c r="C7" t="s">
        <v>21</v>
      </c>
    </row>
    <row r="8" spans="1:3">
      <c r="A8">
        <v>7</v>
      </c>
      <c r="B8" t="s">
        <v>12</v>
      </c>
      <c r="C8" t="s">
        <v>20</v>
      </c>
    </row>
    <row r="9" spans="1:3">
      <c r="A9">
        <v>8</v>
      </c>
      <c r="B9" t="s">
        <v>13</v>
      </c>
      <c r="C9" t="s">
        <v>21</v>
      </c>
    </row>
    <row r="10" spans="1:3">
      <c r="A10">
        <v>9</v>
      </c>
      <c r="B10" t="s">
        <v>15</v>
      </c>
      <c r="C10" t="s">
        <v>20</v>
      </c>
    </row>
    <row r="11" spans="1:3">
      <c r="A11">
        <v>10</v>
      </c>
      <c r="B11" t="s">
        <v>18</v>
      </c>
      <c r="C11" t="s">
        <v>21</v>
      </c>
    </row>
    <row r="12" spans="1:3">
      <c r="A12">
        <v>11</v>
      </c>
      <c r="B12" t="s">
        <v>11</v>
      </c>
      <c r="C12" t="s">
        <v>21</v>
      </c>
    </row>
    <row r="13" spans="1: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/>
  </sheetViews>
  <sheetFormatPr defaultRowHeight="13.5"/>
  <cols>
    <col min="1" max="1" width="8.875" customWidth="1"/>
    <col min="2" max="13" width="5.5625" customWidth="1"/>
  </cols>
  <sheetData>
    <row r="1" spans="1:13" ht="13.9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.9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>
      <c r="A3">
        <v>422111</v>
      </c>
      <c r="C3">
        <v>60</v>
      </c>
      <c r="H3">
        <v>15</v>
      </c>
    </row>
    <row r="4" spans="1:13">
      <c r="A4">
        <v>422112</v>
      </c>
      <c r="C4">
        <v>20</v>
      </c>
      <c r="I4">
        <v>20</v>
      </c>
    </row>
    <row r="5" spans="1:13">
      <c r="A5">
        <v>422113</v>
      </c>
      <c r="C5">
        <v>50</v>
      </c>
    </row>
    <row r="6" spans="1:13">
      <c r="A6">
        <v>422114</v>
      </c>
      <c r="E6">
        <v>25</v>
      </c>
      <c r="G6">
        <v>15</v>
      </c>
    </row>
    <row r="7" spans="1:13">
      <c r="A7">
        <v>422115</v>
      </c>
      <c r="K7">
        <v>24</v>
      </c>
    </row>
    <row r="8" spans="1:13">
      <c r="A8">
        <v>422116</v>
      </c>
    </row>
    <row r="9" spans="1:13">
      <c r="A9">
        <v>422117</v>
      </c>
      <c r="C9">
        <v>10</v>
      </c>
      <c r="G9">
        <v>5</v>
      </c>
    </row>
    <row r="10" spans="1:1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>
      <c r="A11">
        <v>422119</v>
      </c>
      <c r="E11">
        <v>25</v>
      </c>
    </row>
    <row r="12" spans="1:13">
      <c r="A12">
        <v>422120</v>
      </c>
      <c r="E12">
        <v>20</v>
      </c>
      <c r="F12">
        <v>15</v>
      </c>
      <c r="J12">
        <v>17</v>
      </c>
    </row>
    <row r="13" spans="1:13">
      <c r="A13">
        <v>422121</v>
      </c>
      <c r="H13">
        <v>15</v>
      </c>
    </row>
    <row r="14" spans="1:13">
      <c r="A14">
        <v>422122</v>
      </c>
      <c r="H14">
        <v>25</v>
      </c>
    </row>
    <row r="15" spans="1:13">
      <c r="A15">
        <v>422123</v>
      </c>
      <c r="E15">
        <v>43</v>
      </c>
      <c r="H15">
        <v>30</v>
      </c>
    </row>
    <row r="16" spans="1:13">
      <c r="A16">
        <v>422124</v>
      </c>
      <c r="F16">
        <v>20</v>
      </c>
      <c r="G16">
        <v>20</v>
      </c>
    </row>
    <row r="17" spans="1:13">
      <c r="A17">
        <v>422125</v>
      </c>
      <c r="L17">
        <v>10</v>
      </c>
      <c r="M17">
        <v>10</v>
      </c>
    </row>
    <row r="18" spans="1:13">
      <c r="A18">
        <v>422126</v>
      </c>
      <c r="I18">
        <v>44</v>
      </c>
    </row>
    <row r="19" spans="1:13">
      <c r="A19">
        <v>422127</v>
      </c>
      <c r="G19">
        <v>23</v>
      </c>
    </row>
    <row r="20" spans="1:13">
      <c r="A20">
        <v>422128</v>
      </c>
      <c r="F20">
        <v>22</v>
      </c>
      <c r="H20">
        <v>30</v>
      </c>
    </row>
    <row r="21" spans="1:13">
      <c r="A21">
        <v>422129</v>
      </c>
      <c r="M21">
        <v>15</v>
      </c>
    </row>
    <row r="22" spans="1:13">
      <c r="A22">
        <v>422130</v>
      </c>
      <c r="C22">
        <v>20</v>
      </c>
    </row>
    <row r="23" spans="1:13">
      <c r="A23">
        <v>422131</v>
      </c>
      <c r="E23">
        <v>20</v>
      </c>
      <c r="K23">
        <v>10</v>
      </c>
    </row>
    <row r="24" spans="1:13">
      <c r="A24">
        <v>422132</v>
      </c>
    </row>
    <row r="25" spans="1:13">
      <c r="A25">
        <v>422133</v>
      </c>
      <c r="H25">
        <v>20</v>
      </c>
    </row>
    <row r="26" spans="1:13">
      <c r="A26">
        <v>422134</v>
      </c>
      <c r="H26">
        <v>30</v>
      </c>
      <c r="I26">
        <v>20</v>
      </c>
    </row>
    <row r="27" spans="1:13">
      <c r="A27">
        <v>422135</v>
      </c>
      <c r="E27">
        <v>30</v>
      </c>
      <c r="M27">
        <v>15</v>
      </c>
    </row>
    <row r="28" spans="1:13">
      <c r="A28">
        <v>422136</v>
      </c>
    </row>
    <row r="29" spans="1:13">
      <c r="A29">
        <v>422137</v>
      </c>
      <c r="I29">
        <v>30</v>
      </c>
      <c r="K29">
        <v>15</v>
      </c>
    </row>
    <row r="30" spans="1:13">
      <c r="A30">
        <v>422138</v>
      </c>
      <c r="D30">
        <v>20</v>
      </c>
    </row>
    <row r="31" spans="1:13">
      <c r="A31">
        <v>422139</v>
      </c>
      <c r="E31">
        <v>20</v>
      </c>
      <c r="G31">
        <v>15</v>
      </c>
    </row>
    <row r="32" spans="1:13">
      <c r="A32">
        <v>422140</v>
      </c>
      <c r="G32">
        <v>50</v>
      </c>
      <c r="L32">
        <v>13</v>
      </c>
    </row>
    <row r="33" spans="1:13">
      <c r="A33">
        <v>422141</v>
      </c>
      <c r="M33">
        <v>7</v>
      </c>
    </row>
    <row r="34" spans="1:13">
      <c r="A34">
        <v>422142</v>
      </c>
      <c r="G34">
        <v>30</v>
      </c>
    </row>
    <row r="35" spans="1:13">
      <c r="A35">
        <v>422143</v>
      </c>
      <c r="G35">
        <v>40</v>
      </c>
      <c r="H35">
        <v>18</v>
      </c>
    </row>
    <row r="36" spans="1:13">
      <c r="A36">
        <v>422144</v>
      </c>
      <c r="G36">
        <v>30</v>
      </c>
      <c r="I36">
        <v>24</v>
      </c>
    </row>
    <row r="37" spans="1:13">
      <c r="A37">
        <v>422145</v>
      </c>
      <c r="D37">
        <v>22</v>
      </c>
    </row>
    <row r="38" spans="1:13">
      <c r="A38">
        <v>422146</v>
      </c>
      <c r="G38">
        <v>30</v>
      </c>
      <c r="H38">
        <v>25</v>
      </c>
      <c r="M38">
        <v>7</v>
      </c>
    </row>
    <row r="39" spans="1:13">
      <c r="A39">
        <v>422147</v>
      </c>
      <c r="E39">
        <v>17</v>
      </c>
      <c r="G39">
        <v>60</v>
      </c>
      <c r="H39">
        <v>30</v>
      </c>
    </row>
    <row r="40" spans="1:1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khalied</cp:lastModifiedBy>
  <dcterms:created xsi:type="dcterms:W3CDTF">2024-08-19T19:52:48Z</dcterms:created>
  <dcterms:modified xsi:type="dcterms:W3CDTF">2025-04-05T00:27:29Z</dcterms:modified>
</cp:coreProperties>
</file>